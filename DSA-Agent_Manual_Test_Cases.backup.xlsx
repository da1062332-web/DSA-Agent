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xr:revisionPtr revIDLastSave="0" documentId="8_{D6FC2469-069E-407E-AD6D-728DC05A3047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Test Cases" sheetId="1" r:id="rId1"/>
    <sheet name="Legend" sheetId="2" r:id="rId2"/>
    <sheet name="Summary" sheetId="3" r:id="rId3"/>
  </sheets>
  <definedNames>
    <definedName name="_xlnm._FilterDatabase" localSheetId="0" hidden="1">'Test Cases'!$A$1:$K$45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0" i="3" l="1"/>
  <c r="B20" i="3"/>
  <c r="C19" i="3"/>
  <c r="B19" i="3"/>
  <c r="C18" i="3"/>
  <c r="B18" i="3"/>
  <c r="C17" i="3"/>
  <c r="B17" i="3"/>
  <c r="C16" i="3"/>
  <c r="B16" i="3"/>
  <c r="C15" i="3"/>
  <c r="B15" i="3"/>
  <c r="C14" i="3"/>
  <c r="B14" i="3"/>
  <c r="C13" i="3"/>
  <c r="B13" i="3"/>
  <c r="C12" i="3"/>
  <c r="B12" i="3"/>
  <c r="C11" i="3"/>
  <c r="B11" i="3"/>
  <c r="C10" i="3"/>
  <c r="B10" i="3"/>
  <c r="C9" i="3"/>
  <c r="B9" i="3"/>
  <c r="B5" i="3"/>
  <c r="B4" i="3"/>
  <c r="B3" i="3"/>
  <c r="B2" i="3"/>
  <c r="B6" i="3" l="1"/>
  <c r="C2" i="3"/>
  <c r="C3" i="3" l="1"/>
  <c r="C4" i="3"/>
  <c r="C5" i="3"/>
  <c r="C6" i="3" l="1"/>
</calcChain>
</file>

<file path=xl/sharedStrings.xml><?xml version="1.0" encoding="utf-8"?>
<sst xmlns="http://schemas.openxmlformats.org/spreadsheetml/2006/main" count="321" uniqueCount="193">
  <si>
    <t>ID</t>
  </si>
  <si>
    <t>Module</t>
  </si>
  <si>
    <t>Role</t>
  </si>
  <si>
    <t>Steps</t>
  </si>
  <si>
    <t>Expected Result</t>
  </si>
  <si>
    <t>Status</t>
  </si>
  <si>
    <t>Actual Result</t>
  </si>
  <si>
    <t>Evidence</t>
  </si>
  <si>
    <t>Defect ID</t>
  </si>
  <si>
    <t>Tester</t>
  </si>
  <si>
    <t>Date</t>
  </si>
  <si>
    <t>LEAD-01</t>
  </si>
  <si>
    <t>Leads</t>
  </si>
  <si>
    <t>Riya RM</t>
  </si>
  <si>
    <t>Leads &gt; Create Lead; fill every section incl. consent; click Create Lead</t>
  </si>
  <si>
    <t>Lead opens in state NEW; mobile and email masked</t>
  </si>
  <si>
    <t>Pass</t>
  </si>
  <si>
    <t>LEAD-02</t>
  </si>
  <si>
    <t>Submit the create form empty</t>
  </si>
  <si>
    <t>Required-field messages; no lead created</t>
  </si>
  <si>
    <t>Requires Name and contact</t>
  </si>
  <si>
    <t>LEAD-03</t>
  </si>
  <si>
    <t>Create a lead without consent details</t>
  </si>
  <si>
    <t>Blocked; consent is mandatory</t>
  </si>
  <si>
    <t>Consent is mandatory.</t>
  </si>
  <si>
    <t>LEAD-04</t>
  </si>
  <si>
    <t>Create a second lead with the same mobile</t>
  </si>
  <si>
    <t>Duplicate flag ('Dup:') appears on the list</t>
  </si>
  <si>
    <t>Raises Error</t>
  </si>
  <si>
    <t>LEAD-05</t>
  </si>
  <si>
    <t>On a NEW lead click Attempt Contact, then Mark In Progress</t>
  </si>
  <si>
    <t>State NEW &gt; CONTACT_ATTEMPTED &gt; IN_PROGRESS; Contact Attempts shows 1</t>
  </si>
  <si>
    <t>LEAD-06</t>
  </si>
  <si>
    <t>Qualify Lead with applicant type and amount blank</t>
  </si>
  <si>
    <t>Validation error; state unchanged</t>
  </si>
  <si>
    <t>Fail</t>
  </si>
  <si>
    <t xml:space="preserve">Lead is getting qualifies with blank income and requested amount </t>
  </si>
  <si>
    <t>LEAD-07</t>
  </si>
  <si>
    <t>Qualify with valid data, then Convert to Loan Application</t>
  </si>
  <si>
    <t>QUALIFIED then CONVERTED; customer and application numbers shown; action buttons gone</t>
  </si>
  <si>
    <t>(add requested amount dynamically)</t>
  </si>
  <si>
    <t>LEAD-08</t>
  </si>
  <si>
    <t>On a converted lead try to qualify or disqualify</t>
  </si>
  <si>
    <t>Not allowed (terminal state)</t>
  </si>
  <si>
    <t>LEAD-09</t>
  </si>
  <si>
    <t>Disqualify a lead, then reopen it with a reason</t>
  </si>
  <si>
    <t>DISQUALIFIED, then back to NEW; reopen needs a reason code</t>
  </si>
  <si>
    <t>Once lead is disqualified, the status cannot be altered. (we should be able to reopen the case )</t>
  </si>
  <si>
    <t>LEAD-10</t>
  </si>
  <si>
    <t>Filter the list by state, then Reset</t>
  </si>
  <si>
    <t>List filters and resets; pagination still works</t>
  </si>
  <si>
    <t>LEAD-11</t>
  </si>
  <si>
    <t>Two testers</t>
  </si>
  <si>
    <t>Open the same lead in two tabs and change state in both</t>
  </si>
  <si>
    <t>Second save rejected (version conflict), not silently overwritten</t>
  </si>
  <si>
    <t>Not Run</t>
  </si>
  <si>
    <t>CONS-01</t>
  </si>
  <si>
    <t>Consent</t>
  </si>
  <si>
    <t>Open /customers/&lt;id&gt;/consents; Record New Consent, purpose SHARE_WITH_LENDER</t>
  </si>
  <si>
    <t>Target field appears and is required; row shows ACTIVE</t>
  </si>
  <si>
    <t>CONS-02</t>
  </si>
  <si>
    <t>Withdraw a consent</t>
  </si>
  <si>
    <t>Status changes, button disappears, record stays</t>
  </si>
  <si>
    <t>TASK-01</t>
  </si>
  <si>
    <t>Tasks</t>
  </si>
  <si>
    <t>Create Task linked to a lead, with priority and SLA class</t>
  </si>
  <si>
    <t>Task appears in Mine and All Visible</t>
  </si>
  <si>
    <t>A record with the same unique value already exists.</t>
  </si>
  <si>
    <t>TASK-02</t>
  </si>
  <si>
    <t>Check the Mine tab after TASK-01 (code hard-codes owner 'usr_me', audit AUD-005)</t>
  </si>
  <si>
    <t>Task appears under the logged-in user</t>
  </si>
  <si>
    <t>TASK-03</t>
  </si>
  <si>
    <t>Complete a task with an outcome and note</t>
  </si>
  <si>
    <t>Status Completed; gone from Open filter</t>
  </si>
  <si>
    <t>MSG-01</t>
  </si>
  <si>
    <t>Messaging</t>
  </si>
  <si>
    <t>Asha Admin</t>
  </si>
  <si>
    <t>New Template; Save &amp; Approve Template</t>
  </si>
  <si>
    <t>Row with APPROVED chip</t>
  </si>
  <si>
    <t>MSG-02</t>
  </si>
  <si>
    <t>Template body using {{var}} not declared</t>
  </si>
  <si>
    <t>Live preview and validation flag the variable</t>
  </si>
  <si>
    <t>Templeate getting approved even without the declared variables ( Also the templates cannot e modified or even altered)</t>
  </si>
  <si>
    <t>MSG-03</t>
  </si>
  <si>
    <t>Dispatch tab: pick lead, template, variables; Dispatch Message</t>
  </si>
  <si>
    <t>In this build a red SEND_BLOCKED with reason code (no provider). Success is a defect</t>
  </si>
  <si>
    <t>Message Successfully Sent!</t>
  </si>
  <si>
    <t>MSG-04</t>
  </si>
  <si>
    <t>Dispatch outside 09:00-21:00, and for a customer with consent withdrawn</t>
  </si>
  <si>
    <t>Blocked with the matching reason, never delivered</t>
  </si>
  <si>
    <t>Messages are getting sent without</t>
  </si>
  <si>
    <t>CMP-01</t>
  </si>
  <si>
    <t>Complaints</t>
  </si>
  <si>
    <t>Record complaint with valid text</t>
  </si>
  <si>
    <t>Acknowledgement reference shown</t>
  </si>
  <si>
    <t>Complainant not found. (ref 01M5F0NSC6M59Q5NMRRS724RCH)</t>
  </si>
  <si>
    <t>CMP-02</t>
  </si>
  <si>
    <t>Enter under 10 characters, then text with a PAN-like or 12-digit number</t>
  </si>
  <si>
    <t>Both rejected</t>
  </si>
  <si>
    <t>Recipient Masked:</t>
  </si>
  <si>
    <t>CMP-03</t>
  </si>
  <si>
    <t>Assign owner and due date; Start work; refer to lender; Resolve complaint</t>
  </si>
  <si>
    <t>In progress, then Resolved; read-only until reopened</t>
  </si>
  <si>
    <t>9876****212</t>
  </si>
  <si>
    <t>CMP-04</t>
  </si>
  <si>
    <t>Reopen complaint with a reason</t>
  </si>
  <si>
    <t>Resolution cleared; reason kept in audit</t>
  </si>
  <si>
    <t>• Provider:</t>
  </si>
  <si>
    <t>LND-01</t>
  </si>
  <si>
    <t>Lenders</t>
  </si>
  <si>
    <t>New lender; add an empanelment and a contact</t>
  </si>
  <si>
    <t>All three save and show on the lender page</t>
  </si>
  <si>
    <t>(Check weather we need to uplaod any documents and if yes add option to do so. )</t>
  </si>
  <si>
    <t>LND-02</t>
  </si>
  <si>
    <t>Change lender status to Paused or Terminated without a reason</t>
  </si>
  <si>
    <t>Reason is required</t>
  </si>
  <si>
    <t xml:space="preserve">Status is not changing even after </t>
  </si>
  <si>
    <t>LND-03</t>
  </si>
  <si>
    <t>Add a product, then New version with min amount above max</t>
  </si>
  <si>
    <t>Rejected</t>
  </si>
  <si>
    <t>LND-04</t>
  </si>
  <si>
    <t>Add a second terms version</t>
  </si>
  <si>
    <t>Old version kept; new version marked In force</t>
  </si>
  <si>
    <t>ADM-01</t>
  </si>
  <si>
    <t>Admin</t>
  </si>
  <si>
    <t>Create a branch, queue and team; add members to the queue</t>
  </si>
  <si>
    <t>Saved; branch code cannot be changed afterwards</t>
  </si>
  <si>
    <t>ADM-02</t>
  </si>
  <si>
    <t>Configuration: set routing mode, SLA, business hours; Save Configuration</t>
  </si>
  <si>
    <t>'Configuration successfully updated.'; values persist after refresh</t>
  </si>
  <si>
    <t>ADM-03</t>
  </si>
  <si>
    <t>Set business hours end earlier than start</t>
  </si>
  <si>
    <t>Should be rejected; if saved, log a defect</t>
  </si>
  <si>
    <t>USR-01</t>
  </si>
  <si>
    <t>Users</t>
  </si>
  <si>
    <t>Create a staff user with a role</t>
  </si>
  <si>
    <t>User appears in directory; counts update</t>
  </si>
  <si>
    <t>USR-02</t>
  </si>
  <si>
    <t>Create a custom role with a few permissions</t>
  </si>
  <si>
    <t>Shows as Custom Role; matrix reflects the choice</t>
  </si>
  <si>
    <t>RBAC-01</t>
  </si>
  <si>
    <t>Access</t>
  </si>
  <si>
    <t>Sameer Sales</t>
  </si>
  <si>
    <t>Sign in and scan the sidebar</t>
  </si>
  <si>
    <t>No Administration group</t>
  </si>
  <si>
    <t>RBAC-02</t>
  </si>
  <si>
    <t>Paste an admin URL such as /users or the configuration page</t>
  </si>
  <si>
    <t>Access denied or redirect; API returns 403 in Network tab</t>
  </si>
  <si>
    <t>RBAC-03</t>
  </si>
  <si>
    <t>Open a lead that belongs to another branch</t>
  </si>
  <si>
    <t>Not found (404), not the lead's data</t>
  </si>
  <si>
    <t>AUTH-01</t>
  </si>
  <si>
    <t>Sign-in</t>
  </si>
  <si>
    <t>Any</t>
  </si>
  <si>
    <t>Sign in with a wrong password</t>
  </si>
  <si>
    <t>Generic error; no hint which part was wrong</t>
  </si>
  <si>
    <t>AUTH-02</t>
  </si>
  <si>
    <t>Sign in, enter a wrong then a correct 6-digit code</t>
  </si>
  <si>
    <t>Wrong code rejected; correct code lands on Home</t>
  </si>
  <si>
    <t>AUTH-03</t>
  </si>
  <si>
    <t>Security &gt; Sign out other devices</t>
  </si>
  <si>
    <t>Success message; other browser signed out</t>
  </si>
  <si>
    <t>AUTH-04</t>
  </si>
  <si>
    <t>Let a session expire, then click a menu item</t>
  </si>
  <si>
    <t>Redirected to sign-in, no blank page</t>
  </si>
  <si>
    <t>NTF-01</t>
  </si>
  <si>
    <t>Notifications</t>
  </si>
  <si>
    <t>Click the bell; switch All and Unread; Mark all read</t>
  </si>
  <si>
    <t>Counts update</t>
  </si>
  <si>
    <t>NTF-02</t>
  </si>
  <si>
    <t>Gear icon &gt; Notification Preferences (audit AUD-001)</t>
  </si>
  <si>
    <t>Likely defect: dialog may fail to load. If it loads, change, Save Preferences, reopen and confirm persisted</t>
  </si>
  <si>
    <t>UI-01</t>
  </si>
  <si>
    <t>UI/UX</t>
  </si>
  <si>
    <t>Repeat the main flows at phone width (about 390 px)</t>
  </si>
  <si>
    <t>No overflow; menus usable; dialogs fit</t>
  </si>
  <si>
    <t>UI-02</t>
  </si>
  <si>
    <t>Use only the keyboard on the lead create form</t>
  </si>
  <si>
    <t>Logical tab order; visible focus</t>
  </si>
  <si>
    <t>DSA-Agent Manual Test Plan - how to use</t>
  </si>
  <si>
    <t>1. Run each case on the 'Test Cases' sheet as the role named in the Role column, using synthetic data only.</t>
  </si>
  <si>
    <t>2. Fill the yellow columns: Status (dropdown), Actual Result, Evidence, Defect ID, Tester, Date.</t>
  </si>
  <si>
    <t>3. On every Fail attach a screenshot, the exact error text and the Network-tab status code. Never paste tokens or real personal data.</t>
  </si>
  <si>
    <t>4. Status values: Not Run, Pass, Fail, Blocked. The 'Summary' sheet counts them automatically.</t>
  </si>
  <si>
    <t>5. Demo roles: Asha Admin (tenant administrator), Riya RM (relationship manager), Sameer Sales (sales executive).</t>
  </si>
  <si>
    <t>Source: cases derived from the DSA-Agent UI labels and the read-only audit; AUD-xxx IDs refer to that audit report.</t>
  </si>
  <si>
    <t>Count</t>
  </si>
  <si>
    <t>Share</t>
  </si>
  <si>
    <t>Blocked</t>
  </si>
  <si>
    <t>Total</t>
  </si>
  <si>
    <t>Cases by module</t>
  </si>
  <si>
    <t>Cases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</si>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</sst>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%"/>
  </numFmts>
  <fonts count="1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4"/>
      <name val="Arial"/>
      <charset val="1"/>
    </font>
    <font>
      <sz val="11"/>
      <name val="Arial"/>
      <charset val="1"/>
    </font>
    <font>
      <sz val="11"/>
      <color theme="1"/>
      <name val="Arial"/>
      <charset val="1"/>
    </font>
    <font>
      <b/>
      <sz val="11"/>
      <name val="Arial"/>
      <charset val="1"/>
    </font>
    <font>
      <sz val="11"/>
      <color rgb="FFFFFFFF"/>
      <name val="Inter"/>
      <charset val="1"/>
    </font>
    <font>
      <sz val="11"/>
      <color rgb="FF242424"/>
      <name val="Aptos Narrow"/>
      <charset val="1"/>
    </font>
    <font>
      <b/>
      <sz val="11"/>
      <color rgb="FF1E4620"/>
      <name val="Inter"/>
      <charset val="1"/>
    </font>
    <font>
      <sz val="11"/>
      <color rgb="FF1E4620"/>
      <name val="Inter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EB9C"/>
      </patternFill>
    </fill>
    <fill>
      <patternFill patternType="solid">
        <fgColor rgb="FFEDF7ED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164" fontId="2" fillId="3" borderId="1" xfId="0" applyNumberFormat="1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1" fillId="2" borderId="0" xfId="0" applyFont="1" applyFill="1"/>
    <xf numFmtId="0" fontId="5" fillId="0" borderId="0" xfId="0" applyFont="1"/>
    <xf numFmtId="165" fontId="5" fillId="0" borderId="0" xfId="0" applyNumberFormat="1" applyFont="1"/>
    <xf numFmtId="0" fontId="6" fillId="0" borderId="0" xfId="0" applyFont="1"/>
    <xf numFmtId="0" fontId="8" fillId="0" borderId="0" xfId="0" applyFont="1"/>
    <xf numFmtId="0" fontId="7" fillId="0" borderId="0" xfId="0" applyFont="1" applyAlignment="1">
      <alignment wrapText="1"/>
    </xf>
    <xf numFmtId="0" fontId="9" fillId="4" borderId="0" xfId="0" applyFont="1" applyFill="1" applyAlignment="1">
      <alignment wrapText="1"/>
    </xf>
    <xf numFmtId="0" fontId="10" fillId="4" borderId="0" xfId="0" applyFont="1" applyFill="1" applyAlignment="1">
      <alignment wrapText="1"/>
    </xf>
    <xf numFmtId="0" fontId="10" fillId="0" borderId="0" xfId="0" applyFont="1" applyAlignment="1">
      <alignment wrapText="1"/>
    </xf>
    <xf numFmtId="0" fontId="7" fillId="0" borderId="0" xfId="0" applyFont="1"/>
  </cellXfs>
  <cellStyles count="1">
    <cellStyle name="Normal" xfId="0" builtinId="0"/>
  </cellStyles>
  <dxfs count="3"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"/>
  <sheetViews>
    <sheetView tabSelected="1" zoomScaleNormal="100" workbookViewId="0">
      <pane xSplit="1" ySplit="1" topLeftCell="B23" activePane="bottomRight" state="frozen"/>
      <selection pane="bottomRight" activeCell="G27" sqref="G27"/>
      <selection pane="bottomLeft" activeCell="A2" sqref="A2"/>
      <selection pane="topRight" activeCell="B1" sqref="B1"/>
    </sheetView>
  </sheetViews>
  <sheetFormatPr defaultColWidth="8.7109375" defaultRowHeight="15"/>
  <cols>
    <col min="1" max="1" width="10" customWidth="1"/>
    <col min="2" max="3" width="14" customWidth="1"/>
    <col min="4" max="5" width="52" customWidth="1"/>
    <col min="6" max="6" width="12" customWidth="1"/>
    <col min="7" max="7" width="36" customWidth="1"/>
    <col min="8" max="8" width="24" customWidth="1"/>
    <col min="9" max="9" width="12" customWidth="1"/>
    <col min="10" max="10" width="14" customWidth="1"/>
    <col min="11" max="11" width="12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4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3" t="s">
        <v>16</v>
      </c>
      <c r="G2" s="3"/>
      <c r="H2" s="3"/>
      <c r="I2" s="3"/>
      <c r="J2" s="3"/>
      <c r="K2" s="4"/>
    </row>
    <row r="3" spans="1:11">
      <c r="A3" s="2" t="s">
        <v>17</v>
      </c>
      <c r="B3" s="2" t="s">
        <v>12</v>
      </c>
      <c r="C3" s="2" t="s">
        <v>13</v>
      </c>
      <c r="D3" s="2" t="s">
        <v>18</v>
      </c>
      <c r="E3" s="2" t="s">
        <v>19</v>
      </c>
      <c r="F3" s="3" t="s">
        <v>16</v>
      </c>
      <c r="G3" s="11" t="s">
        <v>20</v>
      </c>
      <c r="H3" s="3"/>
      <c r="I3" s="3"/>
      <c r="J3" s="3"/>
      <c r="K3" s="4"/>
    </row>
    <row r="4" spans="1:11">
      <c r="A4" s="2" t="s">
        <v>21</v>
      </c>
      <c r="B4" s="2" t="s">
        <v>12</v>
      </c>
      <c r="C4" s="2" t="s">
        <v>13</v>
      </c>
      <c r="D4" s="2" t="s">
        <v>22</v>
      </c>
      <c r="E4" s="2" t="s">
        <v>23</v>
      </c>
      <c r="F4" s="3" t="s">
        <v>16</v>
      </c>
      <c r="G4" s="3" t="s">
        <v>24</v>
      </c>
      <c r="H4" s="3"/>
      <c r="I4" s="3"/>
      <c r="J4" s="3"/>
      <c r="K4" s="4"/>
    </row>
    <row r="5" spans="1:11">
      <c r="A5" s="2" t="s">
        <v>25</v>
      </c>
      <c r="B5" s="2" t="s">
        <v>12</v>
      </c>
      <c r="C5" s="2" t="s">
        <v>13</v>
      </c>
      <c r="D5" s="2" t="s">
        <v>26</v>
      </c>
      <c r="E5" s="2" t="s">
        <v>27</v>
      </c>
      <c r="F5" s="3" t="s">
        <v>16</v>
      </c>
      <c r="G5" s="3" t="s">
        <v>28</v>
      </c>
      <c r="H5" s="3"/>
      <c r="I5" s="3"/>
      <c r="J5" s="3"/>
      <c r="K5" s="4"/>
    </row>
    <row r="6" spans="1:11" ht="24">
      <c r="A6" s="2" t="s">
        <v>29</v>
      </c>
      <c r="B6" s="2" t="s">
        <v>12</v>
      </c>
      <c r="C6" s="2" t="s">
        <v>13</v>
      </c>
      <c r="D6" s="2" t="s">
        <v>30</v>
      </c>
      <c r="E6" s="2" t="s">
        <v>31</v>
      </c>
      <c r="F6" s="3" t="s">
        <v>16</v>
      </c>
      <c r="G6" s="3"/>
      <c r="H6" s="3"/>
      <c r="I6" s="3"/>
      <c r="J6" s="3"/>
      <c r="K6" s="4"/>
    </row>
    <row r="7" spans="1:11" ht="24">
      <c r="A7" s="2" t="s">
        <v>32</v>
      </c>
      <c r="B7" s="2" t="s">
        <v>12</v>
      </c>
      <c r="C7" s="2" t="s">
        <v>13</v>
      </c>
      <c r="D7" s="2" t="s">
        <v>33</v>
      </c>
      <c r="E7" s="2" t="s">
        <v>34</v>
      </c>
      <c r="F7" s="3" t="s">
        <v>35</v>
      </c>
      <c r="G7" s="3" t="s">
        <v>36</v>
      </c>
      <c r="H7" s="3"/>
      <c r="I7" s="3"/>
      <c r="J7" s="3"/>
      <c r="K7" s="4"/>
    </row>
    <row r="8" spans="1:11" ht="24">
      <c r="A8" s="2" t="s">
        <v>37</v>
      </c>
      <c r="B8" s="2" t="s">
        <v>12</v>
      </c>
      <c r="C8" s="2" t="s">
        <v>13</v>
      </c>
      <c r="D8" s="2" t="s">
        <v>38</v>
      </c>
      <c r="E8" s="2" t="s">
        <v>39</v>
      </c>
      <c r="F8" s="3" t="s">
        <v>16</v>
      </c>
      <c r="G8" s="3" t="s">
        <v>40</v>
      </c>
      <c r="H8" s="3"/>
      <c r="I8" s="3"/>
      <c r="J8" s="3"/>
      <c r="K8" s="4"/>
    </row>
    <row r="9" spans="1:11">
      <c r="A9" s="2" t="s">
        <v>41</v>
      </c>
      <c r="B9" s="2" t="s">
        <v>12</v>
      </c>
      <c r="C9" s="2" t="s">
        <v>13</v>
      </c>
      <c r="D9" s="2" t="s">
        <v>42</v>
      </c>
      <c r="E9" s="2" t="s">
        <v>43</v>
      </c>
      <c r="F9" s="3" t="s">
        <v>16</v>
      </c>
      <c r="G9" s="3"/>
      <c r="H9" s="3"/>
      <c r="I9" s="3"/>
      <c r="J9" s="3"/>
      <c r="K9" s="4"/>
    </row>
    <row r="10" spans="1:11" ht="36">
      <c r="A10" s="2" t="s">
        <v>44</v>
      </c>
      <c r="B10" s="2" t="s">
        <v>12</v>
      </c>
      <c r="C10" s="2" t="s">
        <v>13</v>
      </c>
      <c r="D10" s="2" t="s">
        <v>45</v>
      </c>
      <c r="E10" s="2" t="s">
        <v>46</v>
      </c>
      <c r="F10" s="3" t="s">
        <v>35</v>
      </c>
      <c r="G10" s="3" t="s">
        <v>47</v>
      </c>
      <c r="H10" s="3"/>
      <c r="I10" s="3"/>
      <c r="J10" s="3"/>
      <c r="K10" s="4"/>
    </row>
    <row r="11" spans="1:11">
      <c r="A11" s="2" t="s">
        <v>48</v>
      </c>
      <c r="B11" s="2" t="s">
        <v>12</v>
      </c>
      <c r="C11" s="2" t="s">
        <v>13</v>
      </c>
      <c r="D11" s="2" t="s">
        <v>49</v>
      </c>
      <c r="E11" s="2" t="s">
        <v>50</v>
      </c>
      <c r="F11" s="3" t="s">
        <v>16</v>
      </c>
      <c r="G11" s="3"/>
      <c r="H11" s="3"/>
      <c r="I11" s="3"/>
      <c r="J11" s="3"/>
      <c r="K11" s="4"/>
    </row>
    <row r="12" spans="1:11">
      <c r="A12" s="2" t="s">
        <v>51</v>
      </c>
      <c r="B12" s="2" t="s">
        <v>12</v>
      </c>
      <c r="C12" s="2" t="s">
        <v>52</v>
      </c>
      <c r="D12" s="2" t="s">
        <v>53</v>
      </c>
      <c r="E12" s="2" t="s">
        <v>54</v>
      </c>
      <c r="F12" s="3" t="s">
        <v>55</v>
      </c>
      <c r="G12" s="3"/>
      <c r="H12" s="3"/>
      <c r="I12" s="3"/>
      <c r="J12" s="3"/>
      <c r="K12" s="4"/>
    </row>
    <row r="13" spans="1:11" ht="24">
      <c r="A13" s="2" t="s">
        <v>56</v>
      </c>
      <c r="B13" s="2" t="s">
        <v>57</v>
      </c>
      <c r="C13" s="2" t="s">
        <v>13</v>
      </c>
      <c r="D13" s="2" t="s">
        <v>58</v>
      </c>
      <c r="E13" s="2" t="s">
        <v>59</v>
      </c>
      <c r="F13" s="3" t="s">
        <v>16</v>
      </c>
      <c r="G13" s="3"/>
      <c r="H13" s="3"/>
      <c r="I13" s="3"/>
      <c r="J13" s="3"/>
      <c r="K13" s="4"/>
    </row>
    <row r="14" spans="1:11">
      <c r="A14" s="2" t="s">
        <v>60</v>
      </c>
      <c r="B14" s="2" t="s">
        <v>57</v>
      </c>
      <c r="C14" s="2" t="s">
        <v>13</v>
      </c>
      <c r="D14" s="2" t="s">
        <v>61</v>
      </c>
      <c r="E14" s="2" t="s">
        <v>62</v>
      </c>
      <c r="F14" s="3" t="s">
        <v>16</v>
      </c>
      <c r="G14" s="3"/>
      <c r="H14" s="3"/>
      <c r="I14" s="3"/>
      <c r="J14" s="3"/>
      <c r="K14" s="4"/>
    </row>
    <row r="15" spans="1:11" ht="33.75">
      <c r="A15" s="2" t="s">
        <v>63</v>
      </c>
      <c r="B15" s="2" t="s">
        <v>64</v>
      </c>
      <c r="C15" s="2" t="s">
        <v>13</v>
      </c>
      <c r="D15" s="2" t="s">
        <v>65</v>
      </c>
      <c r="E15" s="2" t="s">
        <v>66</v>
      </c>
      <c r="F15" s="3" t="s">
        <v>35</v>
      </c>
      <c r="G15" s="12" t="s">
        <v>67</v>
      </c>
      <c r="H15" s="3"/>
      <c r="I15" s="3"/>
      <c r="J15" s="3"/>
      <c r="K15" s="4"/>
    </row>
    <row r="16" spans="1:11" ht="24">
      <c r="A16" s="2" t="s">
        <v>68</v>
      </c>
      <c r="B16" s="2" t="s">
        <v>64</v>
      </c>
      <c r="C16" s="2" t="s">
        <v>13</v>
      </c>
      <c r="D16" s="2" t="s">
        <v>69</v>
      </c>
      <c r="E16" s="2" t="s">
        <v>70</v>
      </c>
      <c r="F16" s="3" t="s">
        <v>55</v>
      </c>
      <c r="H16" s="3"/>
      <c r="I16" s="3"/>
      <c r="J16" s="3"/>
      <c r="K16" s="4"/>
    </row>
    <row r="17" spans="1:11">
      <c r="A17" s="2" t="s">
        <v>71</v>
      </c>
      <c r="B17" s="2" t="s">
        <v>64</v>
      </c>
      <c r="C17" s="2" t="s">
        <v>13</v>
      </c>
      <c r="D17" s="2" t="s">
        <v>72</v>
      </c>
      <c r="E17" s="2" t="s">
        <v>73</v>
      </c>
      <c r="F17" s="3" t="s">
        <v>55</v>
      </c>
      <c r="G17" s="3"/>
      <c r="H17" s="3"/>
      <c r="I17" s="3"/>
      <c r="J17" s="3"/>
      <c r="K17" s="4"/>
    </row>
    <row r="18" spans="1:11">
      <c r="A18" s="2" t="s">
        <v>74</v>
      </c>
      <c r="B18" s="2" t="s">
        <v>75</v>
      </c>
      <c r="C18" s="2" t="s">
        <v>76</v>
      </c>
      <c r="D18" s="2" t="s">
        <v>77</v>
      </c>
      <c r="E18" s="2" t="s">
        <v>78</v>
      </c>
      <c r="F18" s="3" t="s">
        <v>16</v>
      </c>
      <c r="G18" s="3"/>
      <c r="H18" s="3"/>
      <c r="I18" s="3"/>
      <c r="J18" s="3"/>
      <c r="K18" s="4"/>
    </row>
    <row r="19" spans="1:11" ht="36">
      <c r="A19" s="2" t="s">
        <v>79</v>
      </c>
      <c r="B19" s="2" t="s">
        <v>75</v>
      </c>
      <c r="C19" s="2" t="s">
        <v>76</v>
      </c>
      <c r="D19" s="2" t="s">
        <v>80</v>
      </c>
      <c r="E19" s="2" t="s">
        <v>81</v>
      </c>
      <c r="F19" s="3" t="s">
        <v>35</v>
      </c>
      <c r="G19" s="3" t="s">
        <v>82</v>
      </c>
      <c r="H19" s="3"/>
      <c r="I19" s="3"/>
      <c r="J19" s="3"/>
      <c r="K19" s="4"/>
    </row>
    <row r="20" spans="1:11" ht="24">
      <c r="A20" s="2" t="s">
        <v>83</v>
      </c>
      <c r="B20" s="2" t="s">
        <v>75</v>
      </c>
      <c r="C20" s="2" t="s">
        <v>76</v>
      </c>
      <c r="D20" s="2" t="s">
        <v>84</v>
      </c>
      <c r="E20" s="2" t="s">
        <v>85</v>
      </c>
      <c r="F20" s="3" t="s">
        <v>55</v>
      </c>
      <c r="G20" s="13" t="s">
        <v>86</v>
      </c>
      <c r="H20" s="3"/>
      <c r="I20" s="3"/>
      <c r="J20" s="3"/>
      <c r="K20" s="4"/>
    </row>
    <row r="21" spans="1:11" ht="24">
      <c r="A21" s="2" t="s">
        <v>87</v>
      </c>
      <c r="B21" s="2" t="s">
        <v>75</v>
      </c>
      <c r="C21" s="2" t="s">
        <v>76</v>
      </c>
      <c r="D21" s="2" t="s">
        <v>88</v>
      </c>
      <c r="E21" s="2" t="s">
        <v>89</v>
      </c>
      <c r="F21" s="3" t="s">
        <v>35</v>
      </c>
      <c r="G21" s="14" t="s">
        <v>90</v>
      </c>
      <c r="H21" s="3"/>
      <c r="I21" s="3"/>
      <c r="J21" s="3"/>
      <c r="K21" s="4"/>
    </row>
    <row r="22" spans="1:11">
      <c r="A22" s="2" t="s">
        <v>91</v>
      </c>
      <c r="B22" s="2" t="s">
        <v>92</v>
      </c>
      <c r="C22" s="2" t="s">
        <v>13</v>
      </c>
      <c r="D22" s="2" t="s">
        <v>93</v>
      </c>
      <c r="E22" s="2" t="s">
        <v>94</v>
      </c>
      <c r="F22" s="3" t="s">
        <v>35</v>
      </c>
      <c r="G22" s="16" t="s">
        <v>95</v>
      </c>
      <c r="H22" s="3"/>
      <c r="I22" s="3"/>
      <c r="J22" s="3"/>
      <c r="K22" s="4"/>
    </row>
    <row r="23" spans="1:11" ht="24">
      <c r="A23" s="2" t="s">
        <v>96</v>
      </c>
      <c r="B23" s="2" t="s">
        <v>92</v>
      </c>
      <c r="C23" s="2" t="s">
        <v>13</v>
      </c>
      <c r="D23" s="2" t="s">
        <v>97</v>
      </c>
      <c r="E23" s="2" t="s">
        <v>98</v>
      </c>
      <c r="F23" s="3" t="s">
        <v>35</v>
      </c>
      <c r="G23" s="14" t="s">
        <v>99</v>
      </c>
      <c r="H23" s="3"/>
      <c r="I23" s="3"/>
      <c r="J23" s="3"/>
      <c r="K23" s="4"/>
    </row>
    <row r="24" spans="1:11" ht="24">
      <c r="A24" s="2" t="s">
        <v>100</v>
      </c>
      <c r="B24" s="2" t="s">
        <v>92</v>
      </c>
      <c r="C24" s="2" t="s">
        <v>76</v>
      </c>
      <c r="D24" s="2" t="s">
        <v>101</v>
      </c>
      <c r="E24" s="2" t="s">
        <v>102</v>
      </c>
      <c r="F24" s="3" t="s">
        <v>55</v>
      </c>
      <c r="G24" s="15" t="s">
        <v>103</v>
      </c>
      <c r="H24" s="3"/>
      <c r="I24" s="3"/>
      <c r="J24" s="3"/>
      <c r="K24" s="4"/>
    </row>
    <row r="25" spans="1:11">
      <c r="A25" s="2" t="s">
        <v>104</v>
      </c>
      <c r="B25" s="2" t="s">
        <v>92</v>
      </c>
      <c r="C25" s="2" t="s">
        <v>76</v>
      </c>
      <c r="D25" s="2" t="s">
        <v>105</v>
      </c>
      <c r="E25" s="2" t="s">
        <v>106</v>
      </c>
      <c r="F25" s="3" t="s">
        <v>55</v>
      </c>
      <c r="G25" t="s">
        <v>107</v>
      </c>
      <c r="H25" s="3"/>
      <c r="I25" s="3"/>
      <c r="J25" s="3"/>
      <c r="K25" s="4"/>
    </row>
    <row r="26" spans="1:11" ht="50.25">
      <c r="A26" s="2" t="s">
        <v>108</v>
      </c>
      <c r="B26" s="2" t="s">
        <v>109</v>
      </c>
      <c r="C26" s="2" t="s">
        <v>76</v>
      </c>
      <c r="D26" s="2" t="s">
        <v>110</v>
      </c>
      <c r="E26" s="2" t="s">
        <v>111</v>
      </c>
      <c r="F26" s="3" t="s">
        <v>16</v>
      </c>
      <c r="G26" s="15" t="s">
        <v>112</v>
      </c>
      <c r="H26" s="3"/>
      <c r="I26" s="3"/>
      <c r="J26" s="3"/>
      <c r="K26" s="4"/>
    </row>
    <row r="27" spans="1:11" ht="24">
      <c r="A27" s="2" t="s">
        <v>113</v>
      </c>
      <c r="B27" s="2" t="s">
        <v>109</v>
      </c>
      <c r="C27" s="2" t="s">
        <v>76</v>
      </c>
      <c r="D27" s="2" t="s">
        <v>114</v>
      </c>
      <c r="E27" s="2" t="s">
        <v>115</v>
      </c>
      <c r="F27" s="3" t="s">
        <v>35</v>
      </c>
      <c r="G27" s="3" t="s">
        <v>116</v>
      </c>
      <c r="H27" s="3"/>
      <c r="I27" s="3"/>
      <c r="J27" s="3"/>
      <c r="K27" s="4"/>
    </row>
    <row r="28" spans="1:11">
      <c r="A28" s="2" t="s">
        <v>117</v>
      </c>
      <c r="B28" s="2" t="s">
        <v>109</v>
      </c>
      <c r="C28" s="2" t="s">
        <v>76</v>
      </c>
      <c r="D28" s="2" t="s">
        <v>118</v>
      </c>
      <c r="E28" s="2" t="s">
        <v>119</v>
      </c>
      <c r="F28" s="3" t="s">
        <v>55</v>
      </c>
      <c r="G28" s="3"/>
      <c r="H28" s="3"/>
      <c r="I28" s="3"/>
      <c r="J28" s="3"/>
      <c r="K28" s="4"/>
    </row>
    <row r="29" spans="1:11">
      <c r="A29" s="2" t="s">
        <v>120</v>
      </c>
      <c r="B29" s="2" t="s">
        <v>109</v>
      </c>
      <c r="C29" s="2" t="s">
        <v>76</v>
      </c>
      <c r="D29" s="2" t="s">
        <v>121</v>
      </c>
      <c r="E29" s="2" t="s">
        <v>122</v>
      </c>
      <c r="F29" s="3" t="s">
        <v>55</v>
      </c>
      <c r="G29" s="3"/>
      <c r="H29" s="3"/>
      <c r="I29" s="3"/>
      <c r="J29" s="3"/>
      <c r="K29" s="4"/>
    </row>
    <row r="30" spans="1:11">
      <c r="A30" s="2" t="s">
        <v>123</v>
      </c>
      <c r="B30" s="2" t="s">
        <v>124</v>
      </c>
      <c r="C30" s="2" t="s">
        <v>76</v>
      </c>
      <c r="D30" s="2" t="s">
        <v>125</v>
      </c>
      <c r="E30" s="2" t="s">
        <v>126</v>
      </c>
      <c r="F30" s="3" t="s">
        <v>55</v>
      </c>
      <c r="G30" s="3"/>
      <c r="H30" s="3"/>
      <c r="I30" s="3"/>
      <c r="J30" s="3"/>
      <c r="K30" s="4"/>
    </row>
    <row r="31" spans="1:11" ht="23.85">
      <c r="A31" s="2" t="s">
        <v>127</v>
      </c>
      <c r="B31" s="2" t="s">
        <v>124</v>
      </c>
      <c r="C31" s="2" t="s">
        <v>76</v>
      </c>
      <c r="D31" s="2" t="s">
        <v>128</v>
      </c>
      <c r="E31" s="2" t="s">
        <v>129</v>
      </c>
      <c r="F31" s="3" t="s">
        <v>55</v>
      </c>
      <c r="G31" s="3"/>
      <c r="H31" s="3"/>
      <c r="I31" s="3"/>
      <c r="J31" s="3"/>
      <c r="K31" s="4"/>
    </row>
    <row r="32" spans="1:11">
      <c r="A32" s="2" t="s">
        <v>130</v>
      </c>
      <c r="B32" s="2" t="s">
        <v>124</v>
      </c>
      <c r="C32" s="2" t="s">
        <v>76</v>
      </c>
      <c r="D32" s="2" t="s">
        <v>131</v>
      </c>
      <c r="E32" s="2" t="s">
        <v>132</v>
      </c>
      <c r="F32" s="3" t="s">
        <v>55</v>
      </c>
      <c r="G32" s="3"/>
      <c r="H32" s="3"/>
      <c r="I32" s="3"/>
      <c r="J32" s="3"/>
      <c r="K32" s="4"/>
    </row>
    <row r="33" spans="1:11">
      <c r="A33" s="2" t="s">
        <v>133</v>
      </c>
      <c r="B33" s="2" t="s">
        <v>134</v>
      </c>
      <c r="C33" s="2" t="s">
        <v>76</v>
      </c>
      <c r="D33" s="2" t="s">
        <v>135</v>
      </c>
      <c r="E33" s="2" t="s">
        <v>136</v>
      </c>
      <c r="F33" s="3" t="s">
        <v>55</v>
      </c>
      <c r="G33" s="3"/>
      <c r="H33" s="3"/>
      <c r="I33" s="3"/>
      <c r="J33" s="3"/>
      <c r="K33" s="4"/>
    </row>
    <row r="34" spans="1:11">
      <c r="A34" s="2" t="s">
        <v>137</v>
      </c>
      <c r="B34" s="2" t="s">
        <v>134</v>
      </c>
      <c r="C34" s="2" t="s">
        <v>76</v>
      </c>
      <c r="D34" s="2" t="s">
        <v>138</v>
      </c>
      <c r="E34" s="2" t="s">
        <v>139</v>
      </c>
      <c r="F34" s="3" t="s">
        <v>55</v>
      </c>
      <c r="G34" s="3"/>
      <c r="H34" s="3"/>
      <c r="I34" s="3"/>
      <c r="J34" s="3"/>
      <c r="K34" s="4"/>
    </row>
    <row r="35" spans="1:11">
      <c r="A35" s="2" t="s">
        <v>140</v>
      </c>
      <c r="B35" s="2" t="s">
        <v>141</v>
      </c>
      <c r="C35" s="2" t="s">
        <v>142</v>
      </c>
      <c r="D35" s="2" t="s">
        <v>143</v>
      </c>
      <c r="E35" s="2" t="s">
        <v>144</v>
      </c>
      <c r="F35" s="3" t="s">
        <v>55</v>
      </c>
      <c r="G35" s="3"/>
      <c r="H35" s="3"/>
      <c r="I35" s="3"/>
      <c r="J35" s="3"/>
      <c r="K35" s="4"/>
    </row>
    <row r="36" spans="1:11">
      <c r="A36" s="2" t="s">
        <v>145</v>
      </c>
      <c r="B36" s="2" t="s">
        <v>141</v>
      </c>
      <c r="C36" s="2" t="s">
        <v>142</v>
      </c>
      <c r="D36" s="2" t="s">
        <v>146</v>
      </c>
      <c r="E36" s="2" t="s">
        <v>147</v>
      </c>
      <c r="F36" s="3" t="s">
        <v>55</v>
      </c>
      <c r="G36" s="3"/>
      <c r="H36" s="3"/>
      <c r="I36" s="3"/>
      <c r="J36" s="3"/>
      <c r="K36" s="4"/>
    </row>
    <row r="37" spans="1:11">
      <c r="A37" s="2" t="s">
        <v>148</v>
      </c>
      <c r="B37" s="2" t="s">
        <v>141</v>
      </c>
      <c r="C37" s="2" t="s">
        <v>142</v>
      </c>
      <c r="D37" s="2" t="s">
        <v>149</v>
      </c>
      <c r="E37" s="2" t="s">
        <v>150</v>
      </c>
      <c r="F37" s="3" t="s">
        <v>55</v>
      </c>
      <c r="G37" s="3"/>
      <c r="H37" s="3"/>
      <c r="I37" s="3"/>
      <c r="J37" s="3"/>
      <c r="K37" s="4"/>
    </row>
    <row r="38" spans="1:11">
      <c r="A38" s="2" t="s">
        <v>151</v>
      </c>
      <c r="B38" s="2" t="s">
        <v>152</v>
      </c>
      <c r="C38" s="2" t="s">
        <v>153</v>
      </c>
      <c r="D38" s="2" t="s">
        <v>154</v>
      </c>
      <c r="E38" s="2" t="s">
        <v>155</v>
      </c>
      <c r="F38" s="3" t="s">
        <v>55</v>
      </c>
      <c r="G38" s="3"/>
      <c r="H38" s="3"/>
      <c r="I38" s="3"/>
      <c r="J38" s="3"/>
      <c r="K38" s="4"/>
    </row>
    <row r="39" spans="1:11">
      <c r="A39" s="2" t="s">
        <v>156</v>
      </c>
      <c r="B39" s="2" t="s">
        <v>152</v>
      </c>
      <c r="C39" s="2" t="s">
        <v>153</v>
      </c>
      <c r="D39" s="2" t="s">
        <v>157</v>
      </c>
      <c r="E39" s="2" t="s">
        <v>158</v>
      </c>
      <c r="F39" s="3" t="s">
        <v>55</v>
      </c>
      <c r="G39" s="3"/>
      <c r="H39" s="3"/>
      <c r="I39" s="3"/>
      <c r="J39" s="3"/>
      <c r="K39" s="4"/>
    </row>
    <row r="40" spans="1:11">
      <c r="A40" s="2" t="s">
        <v>159</v>
      </c>
      <c r="B40" s="2" t="s">
        <v>152</v>
      </c>
      <c r="C40" s="2" t="s">
        <v>153</v>
      </c>
      <c r="D40" s="2" t="s">
        <v>160</v>
      </c>
      <c r="E40" s="2" t="s">
        <v>161</v>
      </c>
      <c r="F40" s="3" t="s">
        <v>55</v>
      </c>
      <c r="G40" s="3"/>
      <c r="H40" s="3"/>
      <c r="I40" s="3"/>
      <c r="J40" s="3"/>
      <c r="K40" s="4"/>
    </row>
    <row r="41" spans="1:11">
      <c r="A41" s="2" t="s">
        <v>162</v>
      </c>
      <c r="B41" s="2" t="s">
        <v>152</v>
      </c>
      <c r="C41" s="2" t="s">
        <v>153</v>
      </c>
      <c r="D41" s="2" t="s">
        <v>163</v>
      </c>
      <c r="E41" s="2" t="s">
        <v>164</v>
      </c>
      <c r="F41" s="3" t="s">
        <v>55</v>
      </c>
      <c r="G41" s="3"/>
      <c r="H41" s="3"/>
      <c r="I41" s="3"/>
      <c r="J41" s="3"/>
      <c r="K41" s="4"/>
    </row>
    <row r="42" spans="1:11">
      <c r="A42" s="2" t="s">
        <v>165</v>
      </c>
      <c r="B42" s="2" t="s">
        <v>166</v>
      </c>
      <c r="C42" s="2" t="s">
        <v>153</v>
      </c>
      <c r="D42" s="2" t="s">
        <v>167</v>
      </c>
      <c r="E42" s="2" t="s">
        <v>168</v>
      </c>
      <c r="F42" s="3" t="s">
        <v>55</v>
      </c>
      <c r="G42" s="3"/>
      <c r="H42" s="3"/>
      <c r="I42" s="3"/>
      <c r="J42" s="3"/>
      <c r="K42" s="4"/>
    </row>
    <row r="43" spans="1:11" ht="23.85">
      <c r="A43" s="2" t="s">
        <v>169</v>
      </c>
      <c r="B43" s="2" t="s">
        <v>166</v>
      </c>
      <c r="C43" s="2" t="s">
        <v>153</v>
      </c>
      <c r="D43" s="2" t="s">
        <v>170</v>
      </c>
      <c r="E43" s="2" t="s">
        <v>171</v>
      </c>
      <c r="F43" s="3" t="s">
        <v>55</v>
      </c>
      <c r="G43" s="3"/>
      <c r="H43" s="3"/>
      <c r="I43" s="3"/>
      <c r="J43" s="3"/>
      <c r="K43" s="4"/>
    </row>
    <row r="44" spans="1:11">
      <c r="A44" s="2" t="s">
        <v>172</v>
      </c>
      <c r="B44" s="2" t="s">
        <v>173</v>
      </c>
      <c r="C44" s="2" t="s">
        <v>153</v>
      </c>
      <c r="D44" s="2" t="s">
        <v>174</v>
      </c>
      <c r="E44" s="2" t="s">
        <v>175</v>
      </c>
      <c r="F44" s="3" t="s">
        <v>55</v>
      </c>
      <c r="G44" s="3"/>
      <c r="H44" s="3"/>
      <c r="I44" s="3"/>
      <c r="J44" s="3"/>
      <c r="K44" s="4"/>
    </row>
    <row r="45" spans="1:11">
      <c r="A45" s="2" t="s">
        <v>176</v>
      </c>
      <c r="B45" s="2" t="s">
        <v>173</v>
      </c>
      <c r="C45" s="2" t="s">
        <v>153</v>
      </c>
      <c r="D45" s="2" t="s">
        <v>177</v>
      </c>
      <c r="E45" s="2" t="s">
        <v>178</v>
      </c>
      <c r="F45" s="3" t="s">
        <v>16</v>
      </c>
      <c r="G45" s="3"/>
      <c r="H45" s="3"/>
      <c r="I45" s="3"/>
      <c r="J45" s="3"/>
      <c r="K45" s="4"/>
    </row>
  </sheetData>
  <autoFilter ref="A1:K45" xr:uid="{00000000-0009-0000-0000-000000000000}"/>
  <conditionalFormatting sqref="F2:F45 G4">
    <cfRule type="cellIs" dxfId="2" priority="2" operator="equal">
      <formula>"Pass"</formula>
    </cfRule>
    <cfRule type="cellIs" dxfId="1" priority="3" operator="equal">
      <formula>"Fail"</formula>
    </cfRule>
    <cfRule type="cellIs" dxfId="0" priority="4" operator="equal">
      <formula>"Blocked"</formula>
    </cfRule>
  </conditionalFormatting>
  <dataValidations count="1">
    <dataValidation type="list" sqref="F2:F45 G4" xr:uid="{00000000-0002-0000-0000-000000000000}">
      <formula1>"Not Run,Pass,Fail,Blocked"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zoomScaleNormal="100" workbookViewId="0"/>
  </sheetViews>
  <sheetFormatPr defaultColWidth="8.7109375" defaultRowHeight="15"/>
  <cols>
    <col min="1" max="1" width="120" customWidth="1"/>
  </cols>
  <sheetData>
    <row r="1" spans="1:1" ht="17.45">
      <c r="A1" s="5" t="s">
        <v>179</v>
      </c>
    </row>
    <row r="2" spans="1:1">
      <c r="A2" s="6"/>
    </row>
    <row r="3" spans="1:1">
      <c r="A3" s="6" t="s">
        <v>180</v>
      </c>
    </row>
    <row r="4" spans="1:1">
      <c r="A4" s="6" t="s">
        <v>181</v>
      </c>
    </row>
    <row r="5" spans="1:1" ht="26.85">
      <c r="A5" s="6" t="s">
        <v>182</v>
      </c>
    </row>
    <row r="6" spans="1:1">
      <c r="A6" s="6" t="s">
        <v>183</v>
      </c>
    </row>
    <row r="7" spans="1:1">
      <c r="A7" s="6" t="s">
        <v>184</v>
      </c>
    </row>
    <row r="8" spans="1:1">
      <c r="A8" s="6" t="s">
        <v>185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"/>
  <sheetViews>
    <sheetView zoomScaleNormal="100" workbookViewId="0"/>
  </sheetViews>
  <sheetFormatPr defaultColWidth="8.7109375" defaultRowHeight="15"/>
  <cols>
    <col min="1" max="1" width="22" customWidth="1"/>
  </cols>
  <sheetData>
    <row r="1" spans="1:3">
      <c r="A1" s="7" t="s">
        <v>5</v>
      </c>
      <c r="B1" s="7" t="s">
        <v>186</v>
      </c>
      <c r="C1" s="7" t="s">
        <v>187</v>
      </c>
    </row>
    <row r="2" spans="1:3">
      <c r="A2" s="8" t="s">
        <v>16</v>
      </c>
      <c r="B2" s="8">
        <f>COUNTIF('Test Cases'!$F$2:$F$45,A2)</f>
        <v>13</v>
      </c>
      <c r="C2" s="9">
        <f>IFERROR(B2/$B$6,0)</f>
        <v>0.29545454545454547</v>
      </c>
    </row>
    <row r="3" spans="1:3">
      <c r="A3" s="8" t="s">
        <v>35</v>
      </c>
      <c r="B3" s="8">
        <f>COUNTIF('Test Cases'!$F$2:$F$45,A3)</f>
        <v>8</v>
      </c>
      <c r="C3" s="9">
        <f>IFERROR(B3/$B$6,0)</f>
        <v>0.18181818181818182</v>
      </c>
    </row>
    <row r="4" spans="1:3">
      <c r="A4" s="8" t="s">
        <v>188</v>
      </c>
      <c r="B4" s="8">
        <f>COUNTIF('Test Cases'!$F$2:$F$45,A4)</f>
        <v>0</v>
      </c>
      <c r="C4" s="9">
        <f>IFERROR(B4/$B$6,0)</f>
        <v>0</v>
      </c>
    </row>
    <row r="5" spans="1:3">
      <c r="A5" s="8" t="s">
        <v>55</v>
      </c>
      <c r="B5" s="8">
        <f>COUNTIF('Test Cases'!$F$2:$F$45,A5)</f>
        <v>23</v>
      </c>
      <c r="C5" s="9">
        <f>IFERROR(B5/$B$6,0)</f>
        <v>0.52272727272727271</v>
      </c>
    </row>
    <row r="6" spans="1:3">
      <c r="A6" s="8" t="s">
        <v>189</v>
      </c>
      <c r="B6" s="8">
        <f>SUM(B2:B5)</f>
        <v>44</v>
      </c>
      <c r="C6" s="9">
        <f>IFERROR(SUM(C2:C5),0)</f>
        <v>1</v>
      </c>
    </row>
    <row r="7" spans="1:3">
      <c r="A7" s="8"/>
      <c r="B7" s="8"/>
      <c r="C7" s="8"/>
    </row>
    <row r="8" spans="1:3">
      <c r="A8" s="10" t="s">
        <v>190</v>
      </c>
      <c r="B8" s="10" t="s">
        <v>191</v>
      </c>
      <c r="C8" s="10" t="s">
        <v>192</v>
      </c>
    </row>
    <row r="9" spans="1:3">
      <c r="A9" s="8" t="s">
        <v>12</v>
      </c>
      <c r="B9" s="8">
        <f>COUNTIF('Test Cases'!$B$2:$B$45,A9)</f>
        <v>11</v>
      </c>
      <c r="C9" s="8">
        <f>COUNTIFS('Test Cases'!$B$2:$B$45,A9,'Test Cases'!$F$2:$F$45,"Fail")</f>
        <v>2</v>
      </c>
    </row>
    <row r="10" spans="1:3">
      <c r="A10" s="8" t="s">
        <v>57</v>
      </c>
      <c r="B10" s="8">
        <f>COUNTIF('Test Cases'!$B$2:$B$45,A10)</f>
        <v>2</v>
      </c>
      <c r="C10" s="8">
        <f>COUNTIFS('Test Cases'!$B$2:$B$45,A10,'Test Cases'!$F$2:$F$45,"Fail")</f>
        <v>0</v>
      </c>
    </row>
    <row r="11" spans="1:3">
      <c r="A11" s="8" t="s">
        <v>64</v>
      </c>
      <c r="B11" s="8">
        <f>COUNTIF('Test Cases'!$B$2:$B$45,A11)</f>
        <v>3</v>
      </c>
      <c r="C11" s="8">
        <f>COUNTIFS('Test Cases'!$B$2:$B$45,A11,'Test Cases'!$F$2:$F$45,"Fail")</f>
        <v>1</v>
      </c>
    </row>
    <row r="12" spans="1:3">
      <c r="A12" s="8" t="s">
        <v>75</v>
      </c>
      <c r="B12" s="8">
        <f>COUNTIF('Test Cases'!$B$2:$B$45,A12)</f>
        <v>4</v>
      </c>
      <c r="C12" s="8">
        <f>COUNTIFS('Test Cases'!$B$2:$B$45,A12,'Test Cases'!$F$2:$F$45,"Fail")</f>
        <v>2</v>
      </c>
    </row>
    <row r="13" spans="1:3">
      <c r="A13" s="8" t="s">
        <v>92</v>
      </c>
      <c r="B13" s="8">
        <f>COUNTIF('Test Cases'!$B$2:$B$45,A13)</f>
        <v>4</v>
      </c>
      <c r="C13" s="8">
        <f>COUNTIFS('Test Cases'!$B$2:$B$45,A13,'Test Cases'!$F$2:$F$45,"Fail")</f>
        <v>2</v>
      </c>
    </row>
    <row r="14" spans="1:3">
      <c r="A14" s="8" t="s">
        <v>109</v>
      </c>
      <c r="B14" s="8">
        <f>COUNTIF('Test Cases'!$B$2:$B$45,A14)</f>
        <v>4</v>
      </c>
      <c r="C14" s="8">
        <f>COUNTIFS('Test Cases'!$B$2:$B$45,A14,'Test Cases'!$F$2:$F$45,"Fail")</f>
        <v>1</v>
      </c>
    </row>
    <row r="15" spans="1:3">
      <c r="A15" s="8" t="s">
        <v>124</v>
      </c>
      <c r="B15" s="8">
        <f>COUNTIF('Test Cases'!$B$2:$B$45,A15)</f>
        <v>3</v>
      </c>
      <c r="C15" s="8">
        <f>COUNTIFS('Test Cases'!$B$2:$B$45,A15,'Test Cases'!$F$2:$F$45,"Fail")</f>
        <v>0</v>
      </c>
    </row>
    <row r="16" spans="1:3">
      <c r="A16" s="8" t="s">
        <v>134</v>
      </c>
      <c r="B16" s="8">
        <f>COUNTIF('Test Cases'!$B$2:$B$45,A16)</f>
        <v>2</v>
      </c>
      <c r="C16" s="8">
        <f>COUNTIFS('Test Cases'!$B$2:$B$45,A16,'Test Cases'!$F$2:$F$45,"Fail")</f>
        <v>0</v>
      </c>
    </row>
    <row r="17" spans="1:3">
      <c r="A17" s="8" t="s">
        <v>141</v>
      </c>
      <c r="B17" s="8">
        <f>COUNTIF('Test Cases'!$B$2:$B$45,A17)</f>
        <v>3</v>
      </c>
      <c r="C17" s="8">
        <f>COUNTIFS('Test Cases'!$B$2:$B$45,A17,'Test Cases'!$F$2:$F$45,"Fail")</f>
        <v>0</v>
      </c>
    </row>
    <row r="18" spans="1:3">
      <c r="A18" s="8" t="s">
        <v>152</v>
      </c>
      <c r="B18" s="8">
        <f>COUNTIF('Test Cases'!$B$2:$B$45,A18)</f>
        <v>4</v>
      </c>
      <c r="C18" s="8">
        <f>COUNTIFS('Test Cases'!$B$2:$B$45,A18,'Test Cases'!$F$2:$F$45,"Fail")</f>
        <v>0</v>
      </c>
    </row>
    <row r="19" spans="1:3">
      <c r="A19" s="8" t="s">
        <v>166</v>
      </c>
      <c r="B19" s="8">
        <f>COUNTIF('Test Cases'!$B$2:$B$45,A19)</f>
        <v>2</v>
      </c>
      <c r="C19" s="8">
        <f>COUNTIFS('Test Cases'!$B$2:$B$45,A19,'Test Cases'!$F$2:$F$45,"Fail")</f>
        <v>0</v>
      </c>
    </row>
    <row r="20" spans="1:3">
      <c r="A20" s="8" t="s">
        <v>173</v>
      </c>
      <c r="B20" s="8">
        <f>COUNTIF('Test Cases'!$B$2:$B$45,A20)</f>
        <v>2</v>
      </c>
      <c r="C20" s="8">
        <f>COUNTIFS('Test Cases'!$B$2:$B$45,A20,'Test Cases'!$F$2:$F$45,"Fail")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2026-10-21T07:36:34Z</dcterms:created>
  <dcterms:modified xsi:type="dcterms:W3CDTF">2026-10-22T03:50:41Z</dcterms:modified>
  <cp:category/>
  <cp:contentStatus/>
</cp:coreProperties>
</file>