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Cases" sheetId="1" state="visible" r:id="rId1"/>
    <sheet name="Legend" sheetId="2" state="visible" r:id="rId2"/>
    <sheet name="Summary" sheetId="3" state="visible" r:id="rId3"/>
  </sheets>
  <definedNames>
    <definedName name="_xlnm._FilterDatabase" localSheetId="0" hidden="1">'Test Cases'!$A$1:$K$45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4"/>
    </font>
    <font>
      <name val="Arial"/>
      <charset val="1"/>
      <sz val="11"/>
    </font>
    <font>
      <name val="Arial"/>
      <charset val="1"/>
      <color theme="1"/>
      <sz val="11"/>
    </font>
    <font>
      <name val="Arial"/>
      <charset val="1"/>
      <b val="1"/>
      <sz val="11"/>
    </font>
    <font>
      <name val="Inter"/>
      <charset val="1"/>
      <color rgb="FFFFFFFF"/>
      <sz val="11"/>
    </font>
    <font>
      <name val="Aptos Narrow"/>
      <charset val="1"/>
      <color rgb="FF242424"/>
      <sz val="11"/>
    </font>
    <font>
      <name val="Inter"/>
      <charset val="1"/>
      <b val="1"/>
      <color rgb="FF1E4620"/>
      <sz val="11"/>
    </font>
    <font>
      <name val="Inter"/>
      <charset val="1"/>
      <color rgb="FF1E462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EDF7E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wrapText="1"/>
    </xf>
    <xf numFmtId="0" fontId="9" fillId="4" borderId="0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tabSelected="1" zoomScaleNormal="100" workbookViewId="0">
      <pane xSplit="1" ySplit="1" topLeftCell="B23" activePane="bottomRight" state="frozen"/>
      <selection pane="bottomRight" activeCell="G27" sqref="G27"/>
      <selection pane="bottomLeft" activeCell="A2" sqref="A2"/>
      <selection pane="topRight" activeCell="B1" sqref="B1"/>
    </sheetView>
  </sheetViews>
  <sheetFormatPr baseColWidth="8" defaultColWidth="8.7109375" defaultRowHeight="15"/>
  <cols>
    <col width="10" customWidth="1" min="1" max="1"/>
    <col width="14" customWidth="1" min="2" max="3"/>
    <col width="52" customWidth="1" min="4" max="5"/>
    <col width="12" customWidth="1" min="6" max="6"/>
    <col width="36" customWidth="1" min="7" max="7"/>
    <col width="24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Role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Actual Result</t>
        </is>
      </c>
      <c r="H1" s="1" t="inlineStr">
        <is>
          <t>Evidence</t>
        </is>
      </c>
      <c r="I1" s="1" t="inlineStr">
        <is>
          <t>Defect ID</t>
        </is>
      </c>
      <c r="J1" s="1" t="inlineStr">
        <is>
          <t>Tester</t>
        </is>
      </c>
      <c r="K1" s="1" t="inlineStr">
        <is>
          <t>Date</t>
        </is>
      </c>
    </row>
    <row r="2" ht="24" customHeight="1">
      <c r="A2" s="2" t="inlineStr">
        <is>
          <t>LEAD-01</t>
        </is>
      </c>
      <c r="B2" s="2" t="inlineStr">
        <is>
          <t>Leads</t>
        </is>
      </c>
      <c r="C2" s="2" t="inlineStr">
        <is>
          <t>Riya RM</t>
        </is>
      </c>
      <c r="D2" s="2" t="inlineStr">
        <is>
          <t>Leads &gt; Create Lead; fill every section incl. consent; click Create Lead</t>
        </is>
      </c>
      <c r="E2" s="2" t="inlineStr">
        <is>
          <t>Lead opens in state NEW; mobile and email masked</t>
        </is>
      </c>
      <c r="F2" s="3" t="inlineStr">
        <is>
          <t>Pass</t>
        </is>
      </c>
      <c r="G2" s="3" t="n"/>
      <c r="H2" s="3" t="n"/>
      <c r="I2" s="3" t="n"/>
      <c r="J2" s="3" t="n"/>
      <c r="K2" s="4" t="n"/>
    </row>
    <row r="3">
      <c r="A3" s="2" t="inlineStr">
        <is>
          <t>LEAD-02</t>
        </is>
      </c>
      <c r="B3" s="2" t="inlineStr">
        <is>
          <t>Leads</t>
        </is>
      </c>
      <c r="C3" s="2" t="inlineStr">
        <is>
          <t>Riya RM</t>
        </is>
      </c>
      <c r="D3" s="2" t="inlineStr">
        <is>
          <t>Submit the create form empty</t>
        </is>
      </c>
      <c r="E3" s="2" t="inlineStr">
        <is>
          <t>Required-field messages; no lead created</t>
        </is>
      </c>
      <c r="F3" s="3" t="inlineStr">
        <is>
          <t>Pass</t>
        </is>
      </c>
      <c r="G3" s="11" t="inlineStr">
        <is>
          <t>Requires Name and contact</t>
        </is>
      </c>
      <c r="H3" s="3" t="n"/>
      <c r="I3" s="3" t="n"/>
      <c r="J3" s="3" t="n"/>
      <c r="K3" s="4" t="n"/>
    </row>
    <row r="4">
      <c r="A4" s="2" t="inlineStr">
        <is>
          <t>LEAD-03</t>
        </is>
      </c>
      <c r="B4" s="2" t="inlineStr">
        <is>
          <t>Leads</t>
        </is>
      </c>
      <c r="C4" s="2" t="inlineStr">
        <is>
          <t>Riya RM</t>
        </is>
      </c>
      <c r="D4" s="2" t="inlineStr">
        <is>
          <t>Create a lead without consent details</t>
        </is>
      </c>
      <c r="E4" s="2" t="inlineStr">
        <is>
          <t>Blocked; consent is mandatory</t>
        </is>
      </c>
      <c r="F4" s="3" t="inlineStr">
        <is>
          <t>Pass</t>
        </is>
      </c>
      <c r="G4" s="3" t="inlineStr">
        <is>
          <t>Consent is mandatory.</t>
        </is>
      </c>
      <c r="H4" s="3" t="n"/>
      <c r="I4" s="3" t="n"/>
      <c r="J4" s="3" t="n"/>
      <c r="K4" s="4" t="n"/>
    </row>
    <row r="5">
      <c r="A5" s="2" t="inlineStr">
        <is>
          <t>LEAD-04</t>
        </is>
      </c>
      <c r="B5" s="2" t="inlineStr">
        <is>
          <t>Leads</t>
        </is>
      </c>
      <c r="C5" s="2" t="inlineStr">
        <is>
          <t>Riya RM</t>
        </is>
      </c>
      <c r="D5" s="2" t="inlineStr">
        <is>
          <t>Create a second lead with the same mobile</t>
        </is>
      </c>
      <c r="E5" s="2" t="inlineStr">
        <is>
          <t>Duplicate flag ('Dup:') appears on the list</t>
        </is>
      </c>
      <c r="F5" s="3" t="inlineStr">
        <is>
          <t>Fail</t>
        </is>
      </c>
      <c r="G5" s="3" t="inlineStr">
        <is>
          <t>Expected duplicate flag, got error (Raises Error)</t>
        </is>
      </c>
      <c r="H5" s="3" t="n"/>
      <c r="I5" s="3" t="n"/>
      <c r="J5" s="3" t="n"/>
      <c r="K5" s="4" t="n"/>
    </row>
    <row r="6" ht="24" customHeight="1">
      <c r="A6" s="2" t="inlineStr">
        <is>
          <t>LEAD-05</t>
        </is>
      </c>
      <c r="B6" s="2" t="inlineStr">
        <is>
          <t>Leads</t>
        </is>
      </c>
      <c r="C6" s="2" t="inlineStr">
        <is>
          <t>Riya RM</t>
        </is>
      </c>
      <c r="D6" s="2" t="inlineStr">
        <is>
          <t>On a NEW lead click Attempt Contact, then Mark In Progress</t>
        </is>
      </c>
      <c r="E6" s="2" t="inlineStr">
        <is>
          <t>State NEW &gt; CONTACT_ATTEMPTED &gt; IN_PROGRESS; Contact Attempts shows 1</t>
        </is>
      </c>
      <c r="F6" s="3" t="inlineStr">
        <is>
          <t>Pass</t>
        </is>
      </c>
      <c r="G6" s="3" t="n"/>
      <c r="H6" s="3" t="n"/>
      <c r="I6" s="3" t="n"/>
      <c r="J6" s="3" t="n"/>
      <c r="K6" s="4" t="n"/>
    </row>
    <row r="7" ht="24" customHeight="1">
      <c r="A7" s="2" t="inlineStr">
        <is>
          <t>LEAD-06</t>
        </is>
      </c>
      <c r="B7" s="2" t="inlineStr">
        <is>
          <t>Leads</t>
        </is>
      </c>
      <c r="C7" s="2" t="inlineStr">
        <is>
          <t>Riya RM</t>
        </is>
      </c>
      <c r="D7" s="2" t="inlineStr">
        <is>
          <t>Qualify Lead with applicant type and amount blank</t>
        </is>
      </c>
      <c r="E7" s="2" t="inlineStr">
        <is>
          <t>Validation error; state unchanged</t>
        </is>
      </c>
      <c r="F7" s="3" t="inlineStr">
        <is>
          <t>Fail</t>
        </is>
      </c>
      <c r="G7" s="3" t="inlineStr">
        <is>
          <t>[Re-run required - invalid text System.Xml.XmlElement / blank income accepted]</t>
        </is>
      </c>
      <c r="H7" s="3" t="n"/>
      <c r="I7" s="3" t="n"/>
      <c r="J7" s="3" t="n"/>
      <c r="K7" s="4" t="n"/>
    </row>
    <row r="8" ht="24" customHeight="1">
      <c r="A8" s="2" t="inlineStr">
        <is>
          <t>LEAD-07</t>
        </is>
      </c>
      <c r="B8" s="2" t="inlineStr">
        <is>
          <t>Leads</t>
        </is>
      </c>
      <c r="C8" s="2" t="inlineStr">
        <is>
          <t>Riya RM</t>
        </is>
      </c>
      <c r="D8" s="2" t="inlineStr">
        <is>
          <t>Qualify with valid data, then Convert to Loan Application</t>
        </is>
      </c>
      <c r="E8" s="2" t="inlineStr">
        <is>
          <t>QUALIFIED then CONVERTED; customer and application numbers shown; action buttons gone</t>
        </is>
      </c>
      <c r="F8" s="3" t="inlineStr">
        <is>
          <t>Pass</t>
        </is>
      </c>
      <c r="G8" s="3" t="inlineStr">
        <is>
          <t>(add requested amount dynamically)</t>
        </is>
      </c>
      <c r="H8" s="3" t="n"/>
      <c r="I8" s="3" t="n"/>
      <c r="J8" s="3" t="n"/>
      <c r="K8" s="4" t="n"/>
    </row>
    <row r="9">
      <c r="A9" s="2" t="inlineStr">
        <is>
          <t>LEAD-08</t>
        </is>
      </c>
      <c r="B9" s="2" t="inlineStr">
        <is>
          <t>Leads</t>
        </is>
      </c>
      <c r="C9" s="2" t="inlineStr">
        <is>
          <t>Riya RM</t>
        </is>
      </c>
      <c r="D9" s="2" t="inlineStr">
        <is>
          <t>On a converted lead try to qualify or disqualify</t>
        </is>
      </c>
      <c r="E9" s="2" t="inlineStr">
        <is>
          <t>Not allowed (terminal state)</t>
        </is>
      </c>
      <c r="F9" s="3" t="inlineStr">
        <is>
          <t>Pass</t>
        </is>
      </c>
      <c r="G9" s="3" t="n"/>
      <c r="H9" s="3" t="n"/>
      <c r="I9" s="3" t="n"/>
      <c r="J9" s="3" t="n"/>
      <c r="K9" s="4" t="n"/>
    </row>
    <row r="10" ht="36" customHeight="1">
      <c r="A10" s="2" t="inlineStr">
        <is>
          <t>LEAD-09</t>
        </is>
      </c>
      <c r="B10" s="2" t="inlineStr">
        <is>
          <t>Leads</t>
        </is>
      </c>
      <c r="C10" s="2" t="inlineStr">
        <is>
          <t>Riya RM</t>
        </is>
      </c>
      <c r="D10" s="2" t="inlineStr">
        <is>
          <t>Disqualify a lead, then reopen it with a reason</t>
        </is>
      </c>
      <c r="E10" s="2" t="inlineStr">
        <is>
          <t>DISQUALIFIED, then back to NEW; reopen needs a reason code</t>
        </is>
      </c>
      <c r="F10" s="3" t="inlineStr">
        <is>
          <t>Fail</t>
        </is>
      </c>
      <c r="G10" s="3" t="inlineStr">
        <is>
          <t>Once lead is disqualified, the status cannot be altered. (we should be able to reopen the case )</t>
        </is>
      </c>
      <c r="H10" s="3" t="n"/>
      <c r="I10" s="3" t="n"/>
      <c r="J10" s="3" t="n"/>
      <c r="K10" s="4" t="n"/>
    </row>
    <row r="11">
      <c r="A11" s="2" t="inlineStr">
        <is>
          <t>LEAD-10</t>
        </is>
      </c>
      <c r="B11" s="2" t="inlineStr">
        <is>
          <t>Leads</t>
        </is>
      </c>
      <c r="C11" s="2" t="inlineStr">
        <is>
          <t>Riya RM</t>
        </is>
      </c>
      <c r="D11" s="2" t="inlineStr">
        <is>
          <t>Filter the list by state, then Reset</t>
        </is>
      </c>
      <c r="E11" s="2" t="inlineStr">
        <is>
          <t>List filters and resets; pagination still works</t>
        </is>
      </c>
      <c r="F11" s="3" t="inlineStr">
        <is>
          <t>Pass</t>
        </is>
      </c>
      <c r="G11" s="3" t="n"/>
      <c r="H11" s="3" t="n"/>
      <c r="I11" s="3" t="n"/>
      <c r="J11" s="3" t="n"/>
      <c r="K11" s="4" t="n"/>
    </row>
    <row r="12">
      <c r="A12" s="2" t="inlineStr">
        <is>
          <t>LEAD-11</t>
        </is>
      </c>
      <c r="B12" s="2" t="inlineStr">
        <is>
          <t>Leads</t>
        </is>
      </c>
      <c r="C12" s="2" t="inlineStr">
        <is>
          <t>Two testers</t>
        </is>
      </c>
      <c r="D12" s="2" t="inlineStr">
        <is>
          <t>Open the same lead in two tabs and change state in both</t>
        </is>
      </c>
      <c r="E12" s="2" t="inlineStr">
        <is>
          <t>Second save rejected (version conflict), not silently overwritten</t>
        </is>
      </c>
      <c r="F12" s="3" t="inlineStr">
        <is>
          <t>Not Run</t>
        </is>
      </c>
      <c r="G12" s="3" t="n"/>
      <c r="H12" s="3" t="n"/>
      <c r="I12" s="3" t="n"/>
      <c r="J12" s="3" t="n"/>
      <c r="K12" s="4" t="n"/>
    </row>
    <row r="13" ht="24" customHeight="1">
      <c r="A13" s="2" t="inlineStr">
        <is>
          <t>CONS-01</t>
        </is>
      </c>
      <c r="B13" s="2" t="inlineStr">
        <is>
          <t>Consent</t>
        </is>
      </c>
      <c r="C13" s="2" t="inlineStr">
        <is>
          <t>Riya RM</t>
        </is>
      </c>
      <c r="D13" s="2" t="inlineStr">
        <is>
          <t>Open /customers/&lt;id&gt;/consents; Record New Consent, purpose SHARE_WITH_LENDER</t>
        </is>
      </c>
      <c r="E13" s="2" t="inlineStr">
        <is>
          <t>Target field appears and is required; row shows ACTIVE</t>
        </is>
      </c>
      <c r="F13" s="3" t="inlineStr">
        <is>
          <t>Pass</t>
        </is>
      </c>
      <c r="G13" s="3" t="n"/>
      <c r="H13" s="3" t="n"/>
      <c r="I13" s="3" t="n"/>
      <c r="J13" s="3" t="n"/>
      <c r="K13" s="4" t="n"/>
    </row>
    <row r="14">
      <c r="A14" s="2" t="inlineStr">
        <is>
          <t>CONS-02</t>
        </is>
      </c>
      <c r="B14" s="2" t="inlineStr">
        <is>
          <t>Consent</t>
        </is>
      </c>
      <c r="C14" s="2" t="inlineStr">
        <is>
          <t>Riya RM</t>
        </is>
      </c>
      <c r="D14" s="2" t="inlineStr">
        <is>
          <t>Withdraw a consent</t>
        </is>
      </c>
      <c r="E14" s="2" t="inlineStr">
        <is>
          <t>Status changes, button disappears, record stays</t>
        </is>
      </c>
      <c r="F14" s="3" t="inlineStr">
        <is>
          <t>Pass</t>
        </is>
      </c>
      <c r="G14" s="3" t="n"/>
      <c r="H14" s="3" t="n"/>
      <c r="I14" s="3" t="n"/>
      <c r="J14" s="3" t="n"/>
      <c r="K14" s="4" t="n"/>
    </row>
    <row r="15" ht="33.75" customHeight="1">
      <c r="A15" s="2" t="inlineStr">
        <is>
          <t>TASK-01</t>
        </is>
      </c>
      <c r="B15" s="2" t="inlineStr">
        <is>
          <t>Tasks</t>
        </is>
      </c>
      <c r="C15" s="2" t="inlineStr">
        <is>
          <t>Riya RM</t>
        </is>
      </c>
      <c r="D15" s="2" t="inlineStr">
        <is>
          <t>Create Task linked to a lead, with priority and SLA class</t>
        </is>
      </c>
      <c r="E15" s="2" t="inlineStr">
        <is>
          <t>Task appears in Mine and All Visible</t>
        </is>
      </c>
      <c r="F15" s="3" t="inlineStr">
        <is>
          <t>Fail</t>
        </is>
      </c>
      <c r="G15" s="12" t="inlineStr">
        <is>
          <t>A record with the same unique value already exists.</t>
        </is>
      </c>
      <c r="H15" s="3" t="n"/>
      <c r="I15" s="3" t="n"/>
      <c r="J15" s="3" t="n"/>
      <c r="K15" s="4" t="n"/>
    </row>
    <row r="16" ht="24" customHeight="1">
      <c r="A16" s="2" t="inlineStr">
        <is>
          <t>TASK-02</t>
        </is>
      </c>
      <c r="B16" s="2" t="inlineStr">
        <is>
          <t>Tasks</t>
        </is>
      </c>
      <c r="C16" s="2" t="inlineStr">
        <is>
          <t>Riya RM</t>
        </is>
      </c>
      <c r="D16" s="2" t="inlineStr">
        <is>
          <t>Check the Mine tab after TASK-01 (code hard-codes owner 'usr_me', audit AUD-005)</t>
        </is>
      </c>
      <c r="E16" s="2" t="inlineStr">
        <is>
          <t>Task appears under the logged-in user</t>
        </is>
      </c>
      <c r="F16" s="3" t="inlineStr">
        <is>
          <t>Not Run</t>
        </is>
      </c>
      <c r="H16" s="3" t="n"/>
      <c r="I16" s="3" t="n"/>
      <c r="J16" s="3" t="n"/>
      <c r="K16" s="4" t="n"/>
    </row>
    <row r="17">
      <c r="A17" s="2" t="inlineStr">
        <is>
          <t>TASK-03</t>
        </is>
      </c>
      <c r="B17" s="2" t="inlineStr">
        <is>
          <t>Tasks</t>
        </is>
      </c>
      <c r="C17" s="2" t="inlineStr">
        <is>
          <t>Riya RM</t>
        </is>
      </c>
      <c r="D17" s="2" t="inlineStr">
        <is>
          <t>Complete a task with an outcome and note</t>
        </is>
      </c>
      <c r="E17" s="2" t="inlineStr">
        <is>
          <t>Status Completed; gone from Open filter</t>
        </is>
      </c>
      <c r="F17" s="3" t="inlineStr">
        <is>
          <t>Not Run</t>
        </is>
      </c>
      <c r="G17" s="3" t="n"/>
      <c r="H17" s="3" t="n"/>
      <c r="I17" s="3" t="n"/>
      <c r="J17" s="3" t="n"/>
      <c r="K17" s="4" t="n"/>
    </row>
    <row r="18">
      <c r="A18" s="2" t="inlineStr">
        <is>
          <t>MSG-01</t>
        </is>
      </c>
      <c r="B18" s="2" t="inlineStr">
        <is>
          <t>Messaging</t>
        </is>
      </c>
      <c r="C18" s="2" t="inlineStr">
        <is>
          <t>Asha Admin</t>
        </is>
      </c>
      <c r="D18" s="2" t="inlineStr">
        <is>
          <t>New Template; Save &amp; Approve Template</t>
        </is>
      </c>
      <c r="E18" s="2" t="inlineStr">
        <is>
          <t>Row with APPROVED chip</t>
        </is>
      </c>
      <c r="F18" s="3" t="inlineStr">
        <is>
          <t>Pass</t>
        </is>
      </c>
      <c r="G18" s="3" t="n"/>
      <c r="H18" s="3" t="n"/>
      <c r="I18" s="3" t="n"/>
      <c r="J18" s="3" t="n"/>
      <c r="K18" s="4" t="n"/>
    </row>
    <row r="19" ht="36" customHeight="1">
      <c r="A19" s="2" t="inlineStr">
        <is>
          <t>MSG-02</t>
        </is>
      </c>
      <c r="B19" s="2" t="inlineStr">
        <is>
          <t>Messaging</t>
        </is>
      </c>
      <c r="C19" s="2" t="inlineStr">
        <is>
          <t>Asha Admin</t>
        </is>
      </c>
      <c r="D19" s="2" t="inlineStr">
        <is>
          <t>Template body using {{var}} not declared</t>
        </is>
      </c>
      <c r="E19" s="2" t="inlineStr">
        <is>
          <t>Live preview and validation flag the variable</t>
        </is>
      </c>
      <c r="F19" s="3" t="inlineStr">
        <is>
          <t>Fail</t>
        </is>
      </c>
      <c r="G19" s="3" t="inlineStr">
        <is>
          <t>Templeate getting approved even without the declared variables ( Also the templates cannot e modified or even altered)</t>
        </is>
      </c>
      <c r="H19" s="3" t="n"/>
      <c r="I19" s="3" t="n"/>
      <c r="J19" s="3" t="n"/>
      <c r="K19" s="4" t="n"/>
    </row>
    <row r="20" ht="24" customHeight="1">
      <c r="A20" s="2" t="inlineStr">
        <is>
          <t>MSG-03</t>
        </is>
      </c>
      <c r="B20" s="2" t="inlineStr">
        <is>
          <t>Messaging</t>
        </is>
      </c>
      <c r="C20" s="2" t="inlineStr">
        <is>
          <t>Asha Admin</t>
        </is>
      </c>
      <c r="D20" s="2" t="inlineStr">
        <is>
          <t>Dispatch tab: pick lead, template, variables; Dispatch Message</t>
        </is>
      </c>
      <c r="E20" s="2" t="inlineStr">
        <is>
          <t>In this build a red SEND_BLOCKED with reason code (no provider). Success is a defect</t>
        </is>
      </c>
      <c r="F20" s="3" t="inlineStr">
        <is>
          <t>Fail</t>
        </is>
      </c>
      <c r="G20" s="13" t="inlineStr">
        <is>
          <t>Expected a blocked send, got Message Successfully Sent!</t>
        </is>
      </c>
      <c r="H20" s="3" t="n"/>
      <c r="I20" s="3" t="n"/>
      <c r="J20" s="3" t="n"/>
      <c r="K20" s="4" t="n"/>
    </row>
    <row r="21" ht="24" customHeight="1">
      <c r="A21" s="2" t="inlineStr">
        <is>
          <t>MSG-04</t>
        </is>
      </c>
      <c r="B21" s="2" t="inlineStr">
        <is>
          <t>Messaging</t>
        </is>
      </c>
      <c r="C21" s="2" t="inlineStr">
        <is>
          <t>Asha Admin</t>
        </is>
      </c>
      <c r="D21" s="2" t="inlineStr">
        <is>
          <t>Dispatch outside 09:00-21:00, and for a customer with consent withdrawn</t>
        </is>
      </c>
      <c r="E21" s="2" t="inlineStr">
        <is>
          <t>Blocked with the matching reason, never delivered</t>
        </is>
      </c>
      <c r="F21" s="3" t="inlineStr">
        <is>
          <t>Fail</t>
        </is>
      </c>
      <c r="G21" s="14" t="inlineStr">
        <is>
          <t>Messages are getting sent without</t>
        </is>
      </c>
      <c r="H21" s="3" t="n"/>
      <c r="I21" s="3" t="n"/>
      <c r="J21" s="3" t="n"/>
      <c r="K21" s="4" t="n"/>
    </row>
    <row r="22">
      <c r="A22" s="2" t="inlineStr">
        <is>
          <t>CMP-01</t>
        </is>
      </c>
      <c r="B22" s="2" t="inlineStr">
        <is>
          <t>Complaints</t>
        </is>
      </c>
      <c r="C22" s="2" t="inlineStr">
        <is>
          <t>Riya RM</t>
        </is>
      </c>
      <c r="D22" s="2" t="inlineStr">
        <is>
          <t>Record complaint with valid text</t>
        </is>
      </c>
      <c r="E22" s="2" t="inlineStr">
        <is>
          <t>Acknowledgement reference shown</t>
        </is>
      </c>
      <c r="F22" s="3" t="inlineStr">
        <is>
          <t>Fail</t>
        </is>
      </c>
      <c r="G22" s="16" t="inlineStr">
        <is>
          <t>Complainant not found. (ref 01M5F0NSC6M59Q5NMRRS724RCH)</t>
        </is>
      </c>
      <c r="H22" s="3" t="n"/>
      <c r="I22" s="3" t="n"/>
      <c r="J22" s="3" t="n"/>
      <c r="K22" s="4" t="n"/>
    </row>
    <row r="23" ht="24" customHeight="1">
      <c r="A23" s="2" t="inlineStr">
        <is>
          <t>CMP-02</t>
        </is>
      </c>
      <c r="B23" s="2" t="inlineStr">
        <is>
          <t>Complaints</t>
        </is>
      </c>
      <c r="C23" s="2" t="inlineStr">
        <is>
          <t>Riya RM</t>
        </is>
      </c>
      <c r="D23" s="2" t="inlineStr">
        <is>
          <t>Enter under 10 characters, then text with a PAN-like or 12-digit number</t>
        </is>
      </c>
      <c r="E23" s="2" t="inlineStr">
        <is>
          <t>Both rejected</t>
        </is>
      </c>
      <c r="F23" s="3" t="inlineStr">
        <is>
          <t>Fail</t>
        </is>
      </c>
      <c r="G23" s="14" t="inlineStr">
        <is>
          <t>[Re-run required - invalid text Recipient Masked:]</t>
        </is>
      </c>
      <c r="H23" s="3" t="n"/>
      <c r="I23" s="3" t="n"/>
      <c r="J23" s="3" t="n"/>
      <c r="K23" s="4" t="n"/>
    </row>
    <row r="24" ht="24" customHeight="1">
      <c r="A24" s="2" t="inlineStr">
        <is>
          <t>CMP-03</t>
        </is>
      </c>
      <c r="B24" s="2" t="inlineStr">
        <is>
          <t>Complaints</t>
        </is>
      </c>
      <c r="C24" s="2" t="inlineStr">
        <is>
          <t>Asha Admin</t>
        </is>
      </c>
      <c r="D24" s="2" t="inlineStr">
        <is>
          <t>Assign owner and due date; Start work; refer to lender; Resolve complaint</t>
        </is>
      </c>
      <c r="E24" s="2" t="inlineStr">
        <is>
          <t>In progress, then Resolved; read-only until reopened</t>
        </is>
      </c>
      <c r="F24" s="3" t="inlineStr">
        <is>
          <t>Not Run</t>
        </is>
      </c>
      <c r="G24" s="15" t="inlineStr">
        <is>
          <t>[Re-run required - invalid text 9876****212]</t>
        </is>
      </c>
      <c r="H24" s="3" t="n"/>
      <c r="I24" s="3" t="n"/>
      <c r="J24" s="3" t="n"/>
      <c r="K24" s="4" t="n"/>
    </row>
    <row r="25">
      <c r="A25" s="2" t="inlineStr">
        <is>
          <t>CMP-04</t>
        </is>
      </c>
      <c r="B25" s="2" t="inlineStr">
        <is>
          <t>Complaints</t>
        </is>
      </c>
      <c r="C25" s="2" t="inlineStr">
        <is>
          <t>Asha Admin</t>
        </is>
      </c>
      <c r="D25" s="2" t="inlineStr">
        <is>
          <t>Reopen complaint with a reason</t>
        </is>
      </c>
      <c r="E25" s="2" t="inlineStr">
        <is>
          <t>Resolution cleared; reason kept in audit</t>
        </is>
      </c>
      <c r="F25" s="3" t="inlineStr">
        <is>
          <t>Not Run</t>
        </is>
      </c>
      <c r="G25" t="inlineStr">
        <is>
          <t>[Re-run required - invalid text • Provider:]</t>
        </is>
      </c>
      <c r="H25" s="3" t="n"/>
      <c r="I25" s="3" t="n"/>
      <c r="J25" s="3" t="n"/>
      <c r="K25" s="4" t="n"/>
    </row>
    <row r="26" ht="50.25" customHeight="1">
      <c r="A26" s="2" t="inlineStr">
        <is>
          <t>LND-01</t>
        </is>
      </c>
      <c r="B26" s="2" t="inlineStr">
        <is>
          <t>Lenders</t>
        </is>
      </c>
      <c r="C26" s="2" t="inlineStr">
        <is>
          <t>Asha Admin</t>
        </is>
      </c>
      <c r="D26" s="2" t="inlineStr">
        <is>
          <t>New lender; add an empanelment and a contact</t>
        </is>
      </c>
      <c r="E26" s="2" t="inlineStr">
        <is>
          <t>All three save and show on the lender page</t>
        </is>
      </c>
      <c r="F26" s="3" t="inlineStr">
        <is>
          <t>Pass</t>
        </is>
      </c>
      <c r="G26" s="15" t="inlineStr">
        <is>
          <t>(Check weather we need to uplaod any documents and if yes add option to do so. )</t>
        </is>
      </c>
      <c r="H26" s="3" t="n"/>
      <c r="I26" s="3" t="n"/>
      <c r="J26" s="3" t="n"/>
      <c r="K26" s="4" t="n"/>
    </row>
    <row r="27" ht="24" customHeight="1">
      <c r="A27" s="2" t="inlineStr">
        <is>
          <t>LND-02</t>
        </is>
      </c>
      <c r="B27" s="2" t="inlineStr">
        <is>
          <t>Lenders</t>
        </is>
      </c>
      <c r="C27" s="2" t="inlineStr">
        <is>
          <t>Asha Admin</t>
        </is>
      </c>
      <c r="D27" s="2" t="inlineStr">
        <is>
          <t>Change lender status to Paused or Terminated without a reason</t>
        </is>
      </c>
      <c r="E27" s="2" t="inlineStr">
        <is>
          <t>Reason is required</t>
        </is>
      </c>
      <c r="F27" s="3" t="inlineStr">
        <is>
          <t>Fail</t>
        </is>
      </c>
      <c r="G27" s="3" t="inlineStr">
        <is>
          <t>[Re-run required - invalid text System.Xml.XmlElement / status change without reason]</t>
        </is>
      </c>
      <c r="H27" s="3" t="n"/>
      <c r="I27" s="3" t="n"/>
      <c r="J27" s="3" t="n"/>
      <c r="K27" s="4" t="n"/>
    </row>
    <row r="28">
      <c r="A28" s="2" t="inlineStr">
        <is>
          <t>LND-03</t>
        </is>
      </c>
      <c r="B28" s="2" t="inlineStr">
        <is>
          <t>Lenders</t>
        </is>
      </c>
      <c r="C28" s="2" t="inlineStr">
        <is>
          <t>Asha Admin</t>
        </is>
      </c>
      <c r="D28" s="2" t="inlineStr">
        <is>
          <t>Add a product, then New version with min amount above max</t>
        </is>
      </c>
      <c r="E28" s="2" t="inlineStr">
        <is>
          <t>Rejected</t>
        </is>
      </c>
      <c r="F28" s="3" t="inlineStr">
        <is>
          <t>Not Run</t>
        </is>
      </c>
      <c r="G28" s="3" t="n"/>
      <c r="H28" s="3" t="n"/>
      <c r="I28" s="3" t="n"/>
      <c r="J28" s="3" t="n"/>
      <c r="K28" s="4" t="n"/>
    </row>
    <row r="29">
      <c r="A29" s="2" t="inlineStr">
        <is>
          <t>LND-04</t>
        </is>
      </c>
      <c r="B29" s="2" t="inlineStr">
        <is>
          <t>Lenders</t>
        </is>
      </c>
      <c r="C29" s="2" t="inlineStr">
        <is>
          <t>Asha Admin</t>
        </is>
      </c>
      <c r="D29" s="2" t="inlineStr">
        <is>
          <t>Add a second terms version</t>
        </is>
      </c>
      <c r="E29" s="2" t="inlineStr">
        <is>
          <t>Old version kept; new version marked In force</t>
        </is>
      </c>
      <c r="F29" s="3" t="inlineStr">
        <is>
          <t>Not Run</t>
        </is>
      </c>
      <c r="G29" s="3" t="n"/>
      <c r="H29" s="3" t="n"/>
      <c r="I29" s="3" t="n"/>
      <c r="J29" s="3" t="n"/>
      <c r="K29" s="4" t="n"/>
    </row>
    <row r="30">
      <c r="A30" s="2" t="inlineStr">
        <is>
          <t>ADM-01</t>
        </is>
      </c>
      <c r="B30" s="2" t="inlineStr">
        <is>
          <t>Admin</t>
        </is>
      </c>
      <c r="C30" s="2" t="inlineStr">
        <is>
          <t>Asha Admin</t>
        </is>
      </c>
      <c r="D30" s="2" t="inlineStr">
        <is>
          <t>Create a branch, queue and team; add members to the queue</t>
        </is>
      </c>
      <c r="E30" s="2" t="inlineStr">
        <is>
          <t>Saved; branch code cannot be changed afterwards</t>
        </is>
      </c>
      <c r="F30" s="3" t="inlineStr">
        <is>
          <t>Not Run</t>
        </is>
      </c>
      <c r="G30" s="3" t="n"/>
      <c r="H30" s="3" t="n"/>
      <c r="I30" s="3" t="n"/>
      <c r="J30" s="3" t="n"/>
      <c r="K30" s="4" t="n"/>
    </row>
    <row r="31" ht="23.85" customHeight="1">
      <c r="A31" s="2" t="inlineStr">
        <is>
          <t>ADM-02</t>
        </is>
      </c>
      <c r="B31" s="2" t="inlineStr">
        <is>
          <t>Admin</t>
        </is>
      </c>
      <c r="C31" s="2" t="inlineStr">
        <is>
          <t>Asha Admin</t>
        </is>
      </c>
      <c r="D31" s="2" t="inlineStr">
        <is>
          <t>Configuration: set routing mode, SLA, business hours; Save Configuration</t>
        </is>
      </c>
      <c r="E31" s="2" t="inlineStr">
        <is>
          <t>'Configuration successfully updated.'; values persist after refresh</t>
        </is>
      </c>
      <c r="F31" s="3" t="inlineStr">
        <is>
          <t>Not Run</t>
        </is>
      </c>
      <c r="G31" s="3" t="n"/>
      <c r="H31" s="3" t="n"/>
      <c r="I31" s="3" t="n"/>
      <c r="J31" s="3" t="n"/>
      <c r="K31" s="4" t="n"/>
    </row>
    <row r="32">
      <c r="A32" s="2" t="inlineStr">
        <is>
          <t>ADM-03</t>
        </is>
      </c>
      <c r="B32" s="2" t="inlineStr">
        <is>
          <t>Admin</t>
        </is>
      </c>
      <c r="C32" s="2" t="inlineStr">
        <is>
          <t>Asha Admin</t>
        </is>
      </c>
      <c r="D32" s="2" t="inlineStr">
        <is>
          <t>Set business hours end earlier than start</t>
        </is>
      </c>
      <c r="E32" s="2" t="inlineStr">
        <is>
          <t>Should be rejected; if saved, log a defect</t>
        </is>
      </c>
      <c r="F32" s="3" t="inlineStr">
        <is>
          <t>Not Run</t>
        </is>
      </c>
      <c r="G32" s="3" t="n"/>
      <c r="H32" s="3" t="n"/>
      <c r="I32" s="3" t="n"/>
      <c r="J32" s="3" t="n"/>
      <c r="K32" s="4" t="n"/>
    </row>
    <row r="33">
      <c r="A33" s="2" t="inlineStr">
        <is>
          <t>USR-01</t>
        </is>
      </c>
      <c r="B33" s="2" t="inlineStr">
        <is>
          <t>Users</t>
        </is>
      </c>
      <c r="C33" s="2" t="inlineStr">
        <is>
          <t>Asha Admin</t>
        </is>
      </c>
      <c r="D33" s="2" t="inlineStr">
        <is>
          <t>Create a staff user with a role</t>
        </is>
      </c>
      <c r="E33" s="2" t="inlineStr">
        <is>
          <t>User appears in directory; counts update</t>
        </is>
      </c>
      <c r="F33" s="3" t="inlineStr">
        <is>
          <t>Not Run</t>
        </is>
      </c>
      <c r="G33" s="3" t="n"/>
      <c r="H33" s="3" t="n"/>
      <c r="I33" s="3" t="n"/>
      <c r="J33" s="3" t="n"/>
      <c r="K33" s="4" t="n"/>
    </row>
    <row r="34">
      <c r="A34" s="2" t="inlineStr">
        <is>
          <t>USR-02</t>
        </is>
      </c>
      <c r="B34" s="2" t="inlineStr">
        <is>
          <t>Users</t>
        </is>
      </c>
      <c r="C34" s="2" t="inlineStr">
        <is>
          <t>Asha Admin</t>
        </is>
      </c>
      <c r="D34" s="2" t="inlineStr">
        <is>
          <t>Create a custom role with a few permissions</t>
        </is>
      </c>
      <c r="E34" s="2" t="inlineStr">
        <is>
          <t>Shows as Custom Role; matrix reflects the choice</t>
        </is>
      </c>
      <c r="F34" s="3" t="inlineStr">
        <is>
          <t>Not Run</t>
        </is>
      </c>
      <c r="G34" s="3" t="n"/>
      <c r="H34" s="3" t="n"/>
      <c r="I34" s="3" t="n"/>
      <c r="J34" s="3" t="n"/>
      <c r="K34" s="4" t="n"/>
    </row>
    <row r="35">
      <c r="A35" s="2" t="inlineStr">
        <is>
          <t>RBAC-01</t>
        </is>
      </c>
      <c r="B35" s="2" t="inlineStr">
        <is>
          <t>Access</t>
        </is>
      </c>
      <c r="C35" s="2" t="inlineStr">
        <is>
          <t>Sameer Sales</t>
        </is>
      </c>
      <c r="D35" s="2" t="inlineStr">
        <is>
          <t>Sign in and scan the sidebar</t>
        </is>
      </c>
      <c r="E35" s="2" t="inlineStr">
        <is>
          <t>No Administration group</t>
        </is>
      </c>
      <c r="F35" s="3" t="inlineStr">
        <is>
          <t>Not Run</t>
        </is>
      </c>
      <c r="G35" s="3" t="n"/>
      <c r="H35" s="3" t="n"/>
      <c r="I35" s="3" t="n"/>
      <c r="J35" s="3" t="n"/>
      <c r="K35" s="4" t="n"/>
    </row>
    <row r="36">
      <c r="A36" s="2" t="inlineStr">
        <is>
          <t>RBAC-02</t>
        </is>
      </c>
      <c r="B36" s="2" t="inlineStr">
        <is>
          <t>Access</t>
        </is>
      </c>
      <c r="C36" s="2" t="inlineStr">
        <is>
          <t>Sameer Sales</t>
        </is>
      </c>
      <c r="D36" s="2" t="inlineStr">
        <is>
          <t>Paste an admin URL such as /users or the configuration page</t>
        </is>
      </c>
      <c r="E36" s="2" t="inlineStr">
        <is>
          <t>Access denied or redirect; API returns 403 in Network tab</t>
        </is>
      </c>
      <c r="F36" s="3" t="inlineStr">
        <is>
          <t>Not Run</t>
        </is>
      </c>
      <c r="G36" s="3" t="n"/>
      <c r="H36" s="3" t="n"/>
      <c r="I36" s="3" t="n"/>
      <c r="J36" s="3" t="n"/>
      <c r="K36" s="4" t="n"/>
    </row>
    <row r="37">
      <c r="A37" s="2" t="inlineStr">
        <is>
          <t>RBAC-03</t>
        </is>
      </c>
      <c r="B37" s="2" t="inlineStr">
        <is>
          <t>Access</t>
        </is>
      </c>
      <c r="C37" s="2" t="inlineStr">
        <is>
          <t>Sameer Sales</t>
        </is>
      </c>
      <c r="D37" s="2" t="inlineStr">
        <is>
          <t>Open a lead that belongs to another branch</t>
        </is>
      </c>
      <c r="E37" s="2" t="inlineStr">
        <is>
          <t>Not found (404), not the lead's data</t>
        </is>
      </c>
      <c r="F37" s="3" t="inlineStr">
        <is>
          <t>Not Run</t>
        </is>
      </c>
      <c r="G37" s="3" t="n"/>
      <c r="H37" s="3" t="n"/>
      <c r="I37" s="3" t="n"/>
      <c r="J37" s="3" t="n"/>
      <c r="K37" s="4" t="n"/>
    </row>
    <row r="38">
      <c r="A38" s="2" t="inlineStr">
        <is>
          <t>AUTH-01</t>
        </is>
      </c>
      <c r="B38" s="2" t="inlineStr">
        <is>
          <t>Sign-in</t>
        </is>
      </c>
      <c r="C38" s="2" t="inlineStr">
        <is>
          <t>Any</t>
        </is>
      </c>
      <c r="D38" s="2" t="inlineStr">
        <is>
          <t>Sign in with a wrong password</t>
        </is>
      </c>
      <c r="E38" s="2" t="inlineStr">
        <is>
          <t>Generic error; no hint which part was wrong</t>
        </is>
      </c>
      <c r="F38" s="3" t="inlineStr">
        <is>
          <t>Not Run</t>
        </is>
      </c>
      <c r="G38" s="3" t="n"/>
      <c r="H38" s="3" t="n"/>
      <c r="I38" s="3" t="n"/>
      <c r="J38" s="3" t="n"/>
      <c r="K38" s="4" t="n"/>
    </row>
    <row r="39">
      <c r="A39" s="2" t="inlineStr">
        <is>
          <t>AUTH-02</t>
        </is>
      </c>
      <c r="B39" s="2" t="inlineStr">
        <is>
          <t>Sign-in</t>
        </is>
      </c>
      <c r="C39" s="2" t="inlineStr">
        <is>
          <t>Any</t>
        </is>
      </c>
      <c r="D39" s="2" t="inlineStr">
        <is>
          <t>Sign in, enter a wrong then a correct 6-digit code</t>
        </is>
      </c>
      <c r="E39" s="2" t="inlineStr">
        <is>
          <t>Wrong code rejected; correct code lands on Home</t>
        </is>
      </c>
      <c r="F39" s="3" t="inlineStr">
        <is>
          <t>Not Run</t>
        </is>
      </c>
      <c r="G39" s="3" t="n"/>
      <c r="H39" s="3" t="n"/>
      <c r="I39" s="3" t="n"/>
      <c r="J39" s="3" t="n"/>
      <c r="K39" s="4" t="n"/>
    </row>
    <row r="40">
      <c r="A40" s="2" t="inlineStr">
        <is>
          <t>AUTH-03</t>
        </is>
      </c>
      <c r="B40" s="2" t="inlineStr">
        <is>
          <t>Sign-in</t>
        </is>
      </c>
      <c r="C40" s="2" t="inlineStr">
        <is>
          <t>Any</t>
        </is>
      </c>
      <c r="D40" s="2" t="inlineStr">
        <is>
          <t>Security &gt; Sign out other devices</t>
        </is>
      </c>
      <c r="E40" s="2" t="inlineStr">
        <is>
          <t>Success message; other browser signed out</t>
        </is>
      </c>
      <c r="F40" s="3" t="inlineStr">
        <is>
          <t>Not Run</t>
        </is>
      </c>
      <c r="G40" s="3" t="n"/>
      <c r="H40" s="3" t="n"/>
      <c r="I40" s="3" t="n"/>
      <c r="J40" s="3" t="n"/>
      <c r="K40" s="4" t="n"/>
    </row>
    <row r="41">
      <c r="A41" s="2" t="inlineStr">
        <is>
          <t>AUTH-04</t>
        </is>
      </c>
      <c r="B41" s="2" t="inlineStr">
        <is>
          <t>Sign-in</t>
        </is>
      </c>
      <c r="C41" s="2" t="inlineStr">
        <is>
          <t>Any</t>
        </is>
      </c>
      <c r="D41" s="2" t="inlineStr">
        <is>
          <t>Let a session expire, then click a menu item</t>
        </is>
      </c>
      <c r="E41" s="2" t="inlineStr">
        <is>
          <t>Redirected to sign-in, no blank page</t>
        </is>
      </c>
      <c r="F41" s="3" t="inlineStr">
        <is>
          <t>Not Run</t>
        </is>
      </c>
      <c r="G41" s="3" t="n"/>
      <c r="H41" s="3" t="n"/>
      <c r="I41" s="3" t="n"/>
      <c r="J41" s="3" t="n"/>
      <c r="K41" s="4" t="n"/>
    </row>
    <row r="42">
      <c r="A42" s="2" t="inlineStr">
        <is>
          <t>NTF-01</t>
        </is>
      </c>
      <c r="B42" s="2" t="inlineStr">
        <is>
          <t>Notifications</t>
        </is>
      </c>
      <c r="C42" s="2" t="inlineStr">
        <is>
          <t>Any</t>
        </is>
      </c>
      <c r="D42" s="2" t="inlineStr">
        <is>
          <t>Click the bell; switch All and Unread; Mark all read</t>
        </is>
      </c>
      <c r="E42" s="2" t="inlineStr">
        <is>
          <t>Counts update</t>
        </is>
      </c>
      <c r="F42" s="3" t="inlineStr">
        <is>
          <t>Not Run</t>
        </is>
      </c>
      <c r="G42" s="3" t="n"/>
      <c r="H42" s="3" t="n"/>
      <c r="I42" s="3" t="n"/>
      <c r="J42" s="3" t="n"/>
      <c r="K42" s="4" t="n"/>
    </row>
    <row r="43" ht="23.85" customHeight="1">
      <c r="A43" s="2" t="inlineStr">
        <is>
          <t>NTF-02</t>
        </is>
      </c>
      <c r="B43" s="2" t="inlineStr">
        <is>
          <t>Notifications</t>
        </is>
      </c>
      <c r="C43" s="2" t="inlineStr">
        <is>
          <t>Any</t>
        </is>
      </c>
      <c r="D43" s="2" t="inlineStr">
        <is>
          <t>Gear icon &gt; Notification Preferences (audit AUD-001)</t>
        </is>
      </c>
      <c r="E43" s="2" t="inlineStr">
        <is>
          <t>Likely defect: dialog may fail to load. If it loads, change, Save Preferences, reopen and confirm persisted</t>
        </is>
      </c>
      <c r="F43" s="3" t="inlineStr">
        <is>
          <t>Not Run</t>
        </is>
      </c>
      <c r="G43" s="3" t="n"/>
      <c r="H43" s="3" t="n"/>
      <c r="I43" s="3" t="n"/>
      <c r="J43" s="3" t="n"/>
      <c r="K43" s="4" t="n"/>
    </row>
    <row r="44">
      <c r="A44" s="2" t="inlineStr">
        <is>
          <t>UI-01</t>
        </is>
      </c>
      <c r="B44" s="2" t="inlineStr">
        <is>
          <t>UI/UX</t>
        </is>
      </c>
      <c r="C44" s="2" t="inlineStr">
        <is>
          <t>Any</t>
        </is>
      </c>
      <c r="D44" s="2" t="inlineStr">
        <is>
          <t>Repeat the main flows at phone width (about 390 px)</t>
        </is>
      </c>
      <c r="E44" s="2" t="inlineStr">
        <is>
          <t>No overflow; menus usable; dialogs fit</t>
        </is>
      </c>
      <c r="F44" s="3" t="inlineStr">
        <is>
          <t>Not Run</t>
        </is>
      </c>
      <c r="G44" s="3" t="n"/>
      <c r="H44" s="3" t="n"/>
      <c r="I44" s="3" t="n"/>
      <c r="J44" s="3" t="n"/>
      <c r="K44" s="4" t="n"/>
    </row>
    <row r="45">
      <c r="A45" s="2" t="inlineStr">
        <is>
          <t>UI-02</t>
        </is>
      </c>
      <c r="B45" s="2" t="inlineStr">
        <is>
          <t>UI/UX</t>
        </is>
      </c>
      <c r="C45" s="2" t="inlineStr">
        <is>
          <t>Any</t>
        </is>
      </c>
      <c r="D45" s="2" t="inlineStr">
        <is>
          <t>Use only the keyboard on the lead create form</t>
        </is>
      </c>
      <c r="E45" s="2" t="inlineStr">
        <is>
          <t>Logical tab order; visible focus</t>
        </is>
      </c>
      <c r="F45" s="3" t="inlineStr">
        <is>
          <t>Pass</t>
        </is>
      </c>
      <c r="G45" s="3" t="n"/>
      <c r="H45" s="3" t="n"/>
      <c r="I45" s="3" t="n"/>
      <c r="J45" s="3" t="n"/>
      <c r="K45" s="4" t="n"/>
    </row>
    <row r="46">
      <c r="A46" t="inlineStr">
        <is>
          <t>AUTH-05</t>
        </is>
      </c>
      <c r="B46" t="inlineStr">
        <is>
          <t>Sign-in</t>
        </is>
      </c>
      <c r="C46" t="inlineStr">
        <is>
          <t>Asha Admin</t>
        </is>
      </c>
      <c r="D46" t="inlineStr">
        <is>
          <t>Open /mfa?enrol=true when an authenticator factor is already active</t>
        </is>
      </c>
      <c r="E46" t="inlineStr">
        <is>
          <t>Enrolment mode activates; new QR code and secret displayed for enrolling additional authenticator</t>
        </is>
      </c>
      <c r="F46" t="inlineStr">
        <is>
          <t>Not Run</t>
        </is>
      </c>
    </row>
    <row r="47">
      <c r="A47" t="inlineStr">
        <is>
          <t>DASH-01</t>
        </is>
      </c>
      <c r="B47" t="inlineStr">
        <is>
          <t>Access</t>
        </is>
      </c>
      <c r="C47" t="inlineStr">
        <is>
          <t>Sameer Sales</t>
        </is>
      </c>
      <c r="D47" t="inlineStr">
        <is>
          <t>Sign in as user with specific role (ROLE-SALES-EXEC, ROLE-LOAN-OPS, ROLE-FINANCE-EXEC)</t>
        </is>
      </c>
      <c r="E47" t="inlineStr">
        <is>
          <t>Home route "/" resolves to dedicated role dashboard matching user role grants</t>
        </is>
      </c>
      <c r="F47" t="inlineStr">
        <is>
          <t>Not Run</t>
        </is>
      </c>
    </row>
    <row r="48">
      <c r="A48" t="inlineStr">
        <is>
          <t>DASH-02</t>
        </is>
      </c>
      <c r="B48" t="inlineStr">
        <is>
          <t>Access</t>
        </is>
      </c>
      <c r="C48" t="inlineStr">
        <is>
          <t>Asha Admin</t>
        </is>
      </c>
      <c r="D48" t="inlineStr">
        <is>
          <t>Use role switcher dropdown on dashboard for multi-role user</t>
        </is>
      </c>
      <c r="E48" t="inlineStr">
        <is>
          <t>Switching role updates dashboard context and action permissions seamlessly</t>
        </is>
      </c>
      <c r="F48" t="inlineStr">
        <is>
          <t>Not Run</t>
        </is>
      </c>
    </row>
    <row r="49">
      <c r="A49" t="inlineStr">
        <is>
          <t>RBAC-04</t>
        </is>
      </c>
      <c r="B49" t="inlineStr">
        <is>
          <t>Access</t>
        </is>
      </c>
      <c r="C49" t="inlineStr">
        <is>
          <t>Asha Admin</t>
        </is>
      </c>
      <c r="D49" t="inlineStr">
        <is>
          <t>Audit Qloax tenant roles: verify action buttons displayed across screens match permission matrix exactly</t>
        </is>
      </c>
      <c r="E49" t="inlineStr">
        <is>
          <t>Each role sees only authorized action buttons; unauthorized action buttons are hidden</t>
        </is>
      </c>
      <c r="F49" t="inlineStr">
        <is>
          <t>Not Run</t>
        </is>
      </c>
    </row>
    <row r="50">
      <c r="A50" t="inlineStr">
        <is>
          <t>RBAC-05</t>
        </is>
      </c>
      <c r="B50" t="inlineStr">
        <is>
          <t>Access</t>
        </is>
      </c>
      <c r="C50" t="inlineStr">
        <is>
          <t>Sameer Sales</t>
        </is>
      </c>
      <c r="D50" t="inlineStr">
        <is>
          <t>Attempt newly guarded actions (commission.calculate, lender.manage, product.manage)</t>
        </is>
      </c>
      <c r="E50" t="inlineStr">
        <is>
          <t>Zero-permission user blocked; old fallback role and new designated role allowed</t>
        </is>
      </c>
      <c r="F50" t="inlineStr">
        <is>
          <t>Not Run</t>
        </is>
      </c>
    </row>
    <row r="51">
      <c r="A51" t="inlineStr">
        <is>
          <t>ELG-01</t>
        </is>
      </c>
      <c r="B51" t="inlineStr">
        <is>
          <t>Origination</t>
        </is>
      </c>
      <c r="C51" t="inlineStr">
        <is>
          <t>Riya RM</t>
        </is>
      </c>
      <c r="D51" t="inlineStr">
        <is>
          <t>Access Eligibility module (/eligibility or MOD-ELG)</t>
        </is>
      </c>
      <c r="E51" t="inlineStr">
        <is>
          <t>Out of scope for this release</t>
        </is>
      </c>
      <c r="F51" t="inlineStr">
        <is>
          <t>Out of Scope</t>
        </is>
      </c>
      <c r="G51" t="inlineStr">
        <is>
          <t>Marked Out of Scope for this release per release requirements</t>
        </is>
      </c>
      <c r="H51" t="inlineStr">
        <is>
          <t>Scope specification</t>
        </is>
      </c>
      <c r="J51" t="inlineStr">
        <is>
          <t>Antigravity</t>
        </is>
      </c>
      <c r="K51" t="inlineStr">
        <is>
          <t>2026-10-22</t>
        </is>
      </c>
    </row>
    <row r="52">
      <c r="A52" t="inlineStr">
        <is>
          <t>CPT-01</t>
        </is>
      </c>
      <c r="B52" t="inlineStr">
        <is>
          <t>Connectors</t>
        </is>
      </c>
      <c r="C52" t="inlineStr">
        <is>
          <t>Sameer Sales</t>
        </is>
      </c>
      <c r="D52" t="inlineStr">
        <is>
          <t>Access Connector Portal (MOD-CPT)</t>
        </is>
      </c>
      <c r="E52" t="inlineStr">
        <is>
          <t>Out of scope for this release</t>
        </is>
      </c>
      <c r="F52" t="inlineStr">
        <is>
          <t>Out of Scope</t>
        </is>
      </c>
      <c r="G52" t="inlineStr">
        <is>
          <t>Marked Out of Scope for this release per release requirements</t>
        </is>
      </c>
      <c r="H52" t="inlineStr">
        <is>
          <t>Scope specification</t>
        </is>
      </c>
      <c r="J52" t="inlineStr">
        <is>
          <t>Antigravity</t>
        </is>
      </c>
      <c r="K52" t="inlineStr">
        <is>
          <t>2026-10-22</t>
        </is>
      </c>
    </row>
  </sheetData>
  <autoFilter ref="A1:K45"/>
  <conditionalFormatting sqref="F2:F45 G4">
    <cfRule type="cellIs" priority="2" operator="equal" dxfId="2">
      <formula>"Pass"</formula>
    </cfRule>
    <cfRule type="cellIs" priority="3" operator="equal" dxfId="1">
      <formula>"Fail"</formula>
    </cfRule>
    <cfRule type="cellIs" priority="4" operator="equal" dxfId="0">
      <formula>"Blocked"</formula>
    </cfRule>
  </conditionalFormatting>
  <dataValidations count="1">
    <dataValidation sqref="F2:F52" showDropDown="0" showInputMessage="0" showErrorMessage="0" allowBlank="1" type="list">
      <formula1>"Not Run,Pass,Fail,Blocked,Out of Scope"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zoomScaleNormal="100" workbookViewId="0">
      <selection activeCell="A1" sqref="A1"/>
    </sheetView>
  </sheetViews>
  <sheetFormatPr baseColWidth="8" defaultColWidth="8.7109375" defaultRowHeight="15"/>
  <cols>
    <col width="120" customWidth="1" min="1" max="1"/>
  </cols>
  <sheetData>
    <row r="1" ht="17.45" customHeight="1">
      <c r="A1" s="5" t="inlineStr">
        <is>
          <t>DSA-Agent Manual Test Plan - how to use</t>
        </is>
      </c>
    </row>
    <row r="2">
      <c r="A2" s="6" t="n"/>
    </row>
    <row r="3">
      <c r="A3" s="6" t="inlineStr">
        <is>
          <t>1. Run each case on the 'Test Cases' sheet as the role named in the Role column, using synthetic data only.</t>
        </is>
      </c>
    </row>
    <row r="4">
      <c r="A4" s="6" t="inlineStr">
        <is>
          <t>2. Fill the yellow columns: Status (dropdown), Actual Result, Evidence, Defect ID, Tester, Date.</t>
        </is>
      </c>
    </row>
    <row r="5" ht="26.85" customHeight="1">
      <c r="A5" s="6" t="inlineStr">
        <is>
          <t>3. On every Fail attach a screenshot, the exact error text and the Network-tab status code. Never paste tokens or real personal data.</t>
        </is>
      </c>
    </row>
    <row r="6">
      <c r="A6" s="6" t="inlineStr">
        <is>
          <t>4. Status values: Not Run, Pass, Fail, Blocked. The 'Summary' sheet counts them automatically.</t>
        </is>
      </c>
    </row>
    <row r="7">
      <c r="A7" s="6" t="inlineStr">
        <is>
          <t>5. Demo roles &amp; accounts: Asha Admin (admin@alpha.com / ROLE-TENANT-ADMIN), Riya RM (rm1@alpha.com / ROLE-RM), Sameer Sales (sales1@alpha.com / ROLE-SALES-EXEC).</t>
        </is>
      </c>
    </row>
    <row r="8">
      <c r="A8" s="6" t="inlineStr">
        <is>
          <t>Source: cases derived from the DSA-Agent UI labels and the read-only audit; AUD-xxx IDs refer to that audit report.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"/>
    </sheetView>
  </sheetViews>
  <sheetFormatPr baseColWidth="8" defaultColWidth="8.7109375" defaultRowHeight="15"/>
  <cols>
    <col width="22" customWidth="1" min="1" max="1"/>
  </cols>
  <sheetData>
    <row r="1">
      <c r="A1" s="7" t="inlineStr">
        <is>
          <t>Status</t>
        </is>
      </c>
      <c r="B1" s="7" t="inlineStr">
        <is>
          <t>Count</t>
        </is>
      </c>
      <c r="C1" s="7" t="inlineStr">
        <is>
          <t>Share</t>
        </is>
      </c>
    </row>
    <row r="2">
      <c r="A2" s="8" t="inlineStr">
        <is>
          <t>Pass</t>
        </is>
      </c>
      <c r="B2" s="8">
        <f>COUNTIF('Test Cases'!$F$2:$F$52,A2)</f>
        <v/>
      </c>
      <c r="C2" s="9">
        <f>IFERROR(B2/$B$6,0)</f>
        <v/>
      </c>
    </row>
    <row r="3">
      <c r="A3" s="8" t="inlineStr">
        <is>
          <t>Fail</t>
        </is>
      </c>
      <c r="B3" s="8">
        <f>COUNTIF('Test Cases'!$F$2:$F$52,A3)</f>
        <v/>
      </c>
      <c r="C3" s="9">
        <f>IFERROR(B3/$B$6,0)</f>
        <v/>
      </c>
    </row>
    <row r="4">
      <c r="A4" s="8" t="inlineStr">
        <is>
          <t>Blocked</t>
        </is>
      </c>
      <c r="B4" s="8">
        <f>COUNTIF('Test Cases'!$F$2:$F$52,A4)</f>
        <v/>
      </c>
      <c r="C4" s="9">
        <f>IFERROR(B4/$B$6,0)</f>
        <v/>
      </c>
    </row>
    <row r="5">
      <c r="A5" s="8" t="inlineStr">
        <is>
          <t>Not Run</t>
        </is>
      </c>
      <c r="B5" s="8">
        <f>COUNTIF('Test Cases'!$F$2:$F$52,A5)</f>
        <v/>
      </c>
      <c r="C5" s="9">
        <f>IFERROR(B5/$B$6,0)</f>
        <v/>
      </c>
    </row>
    <row r="6">
      <c r="A6" s="8" t="inlineStr">
        <is>
          <t>Total</t>
        </is>
      </c>
      <c r="B6" s="8">
        <f>SUM(B2:B5)</f>
        <v/>
      </c>
      <c r="C6" s="9">
        <f>IFERROR(SUM(C2:C5),0)</f>
        <v/>
      </c>
    </row>
    <row r="7">
      <c r="A7" s="8" t="n"/>
      <c r="B7" s="8" t="n"/>
      <c r="C7" s="8" t="n"/>
    </row>
    <row r="8">
      <c r="A8" s="10" t="inlineStr">
        <is>
          <t>Cases by module</t>
        </is>
      </c>
      <c r="B8" s="10" t="inlineStr">
        <is>
          <t>Cases</t>
        </is>
      </c>
      <c r="C8" s="10" t="inlineStr">
        <is>
          <t>Failed</t>
        </is>
      </c>
    </row>
    <row r="9">
      <c r="A9" s="8" t="inlineStr">
        <is>
          <t>Leads</t>
        </is>
      </c>
      <c r="B9" s="8">
        <f>COUNTIF('Test Cases'!$B$2:$B$52,A9)</f>
        <v/>
      </c>
      <c r="C9" s="8">
        <f>COUNTIFS('Test Cases'!$B$2:$B$52,A9,'Test Cases'!$F$2:$F$52,"Fail")</f>
        <v/>
      </c>
    </row>
    <row r="10">
      <c r="A10" s="8" t="inlineStr">
        <is>
          <t>Consent</t>
        </is>
      </c>
      <c r="B10" s="8">
        <f>COUNTIF('Test Cases'!$B$2:$B$52,A10)</f>
        <v/>
      </c>
      <c r="C10" s="8">
        <f>COUNTIFS('Test Cases'!$B$2:$B$52,A10,'Test Cases'!$F$2:$F$52,"Fail")</f>
        <v/>
      </c>
    </row>
    <row r="11">
      <c r="A11" s="8" t="inlineStr">
        <is>
          <t>Tasks</t>
        </is>
      </c>
      <c r="B11" s="8">
        <f>COUNTIF('Test Cases'!$B$2:$B$52,A11)</f>
        <v/>
      </c>
      <c r="C11" s="8">
        <f>COUNTIFS('Test Cases'!$B$2:$B$52,A11,'Test Cases'!$F$2:$F$52,"Fail")</f>
        <v/>
      </c>
    </row>
    <row r="12">
      <c r="A12" s="8" t="inlineStr">
        <is>
          <t>Messaging</t>
        </is>
      </c>
      <c r="B12" s="8">
        <f>COUNTIF('Test Cases'!$B$2:$B$52,A12)</f>
        <v/>
      </c>
      <c r="C12" s="8">
        <f>COUNTIFS('Test Cases'!$B$2:$B$52,A12,'Test Cases'!$F$2:$F$52,"Fail")</f>
        <v/>
      </c>
    </row>
    <row r="13">
      <c r="A13" s="8" t="inlineStr">
        <is>
          <t>Complaints</t>
        </is>
      </c>
      <c r="B13" s="8">
        <f>COUNTIF('Test Cases'!$B$2:$B$52,A13)</f>
        <v/>
      </c>
      <c r="C13" s="8">
        <f>COUNTIFS('Test Cases'!$B$2:$B$52,A13,'Test Cases'!$F$2:$F$52,"Fail")</f>
        <v/>
      </c>
    </row>
    <row r="14">
      <c r="A14" s="8" t="inlineStr">
        <is>
          <t>Lenders</t>
        </is>
      </c>
      <c r="B14" s="8">
        <f>COUNTIF('Test Cases'!$B$2:$B$52,A14)</f>
        <v/>
      </c>
      <c r="C14" s="8">
        <f>COUNTIFS('Test Cases'!$B$2:$B$52,A14,'Test Cases'!$F$2:$F$52,"Fail")</f>
        <v/>
      </c>
    </row>
    <row r="15">
      <c r="A15" s="8" t="inlineStr">
        <is>
          <t>Admin</t>
        </is>
      </c>
      <c r="B15" s="8">
        <f>COUNTIF('Test Cases'!$B$2:$B$52,A15)</f>
        <v/>
      </c>
      <c r="C15" s="8">
        <f>COUNTIFS('Test Cases'!$B$2:$B$52,A15,'Test Cases'!$F$2:$F$52,"Fail")</f>
        <v/>
      </c>
    </row>
    <row r="16">
      <c r="A16" s="8" t="inlineStr">
        <is>
          <t>Users</t>
        </is>
      </c>
      <c r="B16" s="8">
        <f>COUNTIF('Test Cases'!$B$2:$B$52,A16)</f>
        <v/>
      </c>
      <c r="C16" s="8">
        <f>COUNTIFS('Test Cases'!$B$2:$B$52,A16,'Test Cases'!$F$2:$F$52,"Fail")</f>
        <v/>
      </c>
    </row>
    <row r="17">
      <c r="A17" s="8" t="inlineStr">
        <is>
          <t>Access</t>
        </is>
      </c>
      <c r="B17" s="8">
        <f>COUNTIF('Test Cases'!$B$2:$B$52,A17)</f>
        <v/>
      </c>
      <c r="C17" s="8">
        <f>COUNTIFS('Test Cases'!$B$2:$B$52,A17,'Test Cases'!$F$2:$F$52,"Fail")</f>
        <v/>
      </c>
    </row>
    <row r="18">
      <c r="A18" s="8" t="inlineStr">
        <is>
          <t>Sign-in</t>
        </is>
      </c>
      <c r="B18" s="8">
        <f>COUNTIF('Test Cases'!$B$2:$B$52,A18)</f>
        <v/>
      </c>
      <c r="C18" s="8">
        <f>COUNTIFS('Test Cases'!$B$2:$B$52,A18,'Test Cases'!$F$2:$F$52,"Fail")</f>
        <v/>
      </c>
    </row>
    <row r="19">
      <c r="A19" s="8" t="inlineStr">
        <is>
          <t>Notifications</t>
        </is>
      </c>
      <c r="B19" s="8">
        <f>COUNTIF('Test Cases'!$B$2:$B$52,A19)</f>
        <v/>
      </c>
      <c r="C19" s="8">
        <f>COUNTIFS('Test Cases'!$B$2:$B$52,A19,'Test Cases'!$F$2:$F$52,"Fail")</f>
        <v/>
      </c>
    </row>
    <row r="20">
      <c r="A20" s="8" t="inlineStr">
        <is>
          <t>UI/UX</t>
        </is>
      </c>
      <c r="B20" s="8">
        <f>COUNTIF('Test Cases'!$B$2:$B$52,A20)</f>
        <v/>
      </c>
      <c r="C20" s="8">
        <f>COUNTIFS('Test Cases'!$B$2:$B$52,A20,'Test Cases'!$F$2:$F$52,"Fail")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2026-10-21T07:36:34Z</dcterms:created>
  <dcterms:modified xsi:type="dcterms:W3CDTF">2026-10-22T07:20:52Z</dcterms:modified>
  <cp:revision>0</cp:revision>
</cp:coreProperties>
</file>